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2227F3E8-D352-4B09-A26B-E80E41C2DA1C}" xr6:coauthVersionLast="47" xr6:coauthVersionMax="47" xr10:uidLastSave="{00000000-0000-0000-0000-000000000000}"/>
  <bookViews>
    <workbookView xWindow="3585" yWindow="3585" windowWidth="21600" windowHeight="11295" firstSheet="2" activeTab="2" xr2:uid="{00000000-000D-0000-FFFF-FFFF00000000}"/>
  </bookViews>
  <sheets>
    <sheet name="制作進捗確認表" sheetId="16" state="hidden" r:id="rId1"/>
    <sheet name="進捗確認表" sheetId="18" r:id="rId2"/>
    <sheet name="Sheet2" sheetId="20" r:id="rId3"/>
  </sheets>
  <definedNames>
    <definedName name="タスク_開始" localSheetId="1">#REF!</definedName>
    <definedName name="タスク_開始" localSheetId="0">#REF!</definedName>
    <definedName name="タスク_終了" localSheetId="1">#REF!</definedName>
    <definedName name="タスク_終了" localSheetId="0">#REF!</definedName>
    <definedName name="タスク_進捗状況" localSheetId="1">#REF!</definedName>
    <definedName name="タスク_進捗状況" localSheetId="0">#REF!</definedName>
    <definedName name="プロジェクトの開始" localSheetId="1">#REF!</definedName>
    <definedName name="プロジェクトの開始">#REF!</definedName>
    <definedName name="週表示" localSheetId="1">#REF!</definedName>
    <definedName name="週表示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20" l="1"/>
  <c r="I7" i="20" s="1"/>
  <c r="J7" i="20" s="1"/>
  <c r="K7" i="20" s="1"/>
  <c r="L7" i="20" s="1"/>
  <c r="H7" i="18"/>
  <c r="I7" i="18" s="1"/>
  <c r="J7" i="18" s="1"/>
  <c r="K7" i="18" s="1"/>
  <c r="L7" i="18" s="1"/>
  <c r="H6" i="18"/>
  <c r="M6" i="18" s="1"/>
  <c r="H7" i="16"/>
  <c r="H6" i="20" l="1"/>
  <c r="M6" i="20" s="1"/>
  <c r="M7" i="20"/>
  <c r="N7" i="20" s="1"/>
  <c r="O7" i="20" s="1"/>
  <c r="P7" i="20" s="1"/>
  <c r="Q7" i="20" s="1"/>
  <c r="R6" i="20"/>
  <c r="M7" i="18"/>
  <c r="N7" i="18" s="1"/>
  <c r="O7" i="18" s="1"/>
  <c r="P7" i="18" s="1"/>
  <c r="Q7" i="18" s="1"/>
  <c r="R6" i="18"/>
  <c r="I7" i="16"/>
  <c r="J7" i="16" s="1"/>
  <c r="K7" i="16" s="1"/>
  <c r="L7" i="16" s="1"/>
  <c r="R7" i="20" l="1"/>
  <c r="S7" i="20" s="1"/>
  <c r="T7" i="20" s="1"/>
  <c r="U7" i="20" s="1"/>
  <c r="V7" i="20" s="1"/>
  <c r="W6" i="20"/>
  <c r="R7" i="18"/>
  <c r="S7" i="18" s="1"/>
  <c r="T7" i="18" s="1"/>
  <c r="U7" i="18" s="1"/>
  <c r="V7" i="18" s="1"/>
  <c r="W6" i="18"/>
  <c r="H6" i="16"/>
  <c r="M6" i="16" s="1"/>
  <c r="W7" i="20" l="1"/>
  <c r="X7" i="20" s="1"/>
  <c r="Y7" i="20" s="1"/>
  <c r="Z7" i="20" s="1"/>
  <c r="AA7" i="20" s="1"/>
  <c r="AB6" i="20"/>
  <c r="W7" i="18"/>
  <c r="X7" i="18" s="1"/>
  <c r="Y7" i="18" s="1"/>
  <c r="Z7" i="18" s="1"/>
  <c r="AA7" i="18" s="1"/>
  <c r="AB6" i="18"/>
  <c r="M7" i="16"/>
  <c r="N7" i="16" s="1"/>
  <c r="O7" i="16" s="1"/>
  <c r="P7" i="16" s="1"/>
  <c r="Q7" i="16" s="1"/>
  <c r="R6" i="16"/>
  <c r="AB7" i="20" l="1"/>
  <c r="AC7" i="20" s="1"/>
  <c r="AD7" i="20" s="1"/>
  <c r="AE7" i="20" s="1"/>
  <c r="AF7" i="20" s="1"/>
  <c r="AG6" i="20"/>
  <c r="AB7" i="18"/>
  <c r="AC7" i="18" s="1"/>
  <c r="AD7" i="18" s="1"/>
  <c r="AE7" i="18" s="1"/>
  <c r="AF7" i="18" s="1"/>
  <c r="AG6" i="18"/>
  <c r="R7" i="16"/>
  <c r="S7" i="16" s="1"/>
  <c r="T7" i="16" s="1"/>
  <c r="U7" i="16" s="1"/>
  <c r="V7" i="16" s="1"/>
  <c r="W6" i="16"/>
  <c r="AG7" i="20" l="1"/>
  <c r="AH7" i="20" s="1"/>
  <c r="AI7" i="20" s="1"/>
  <c r="AJ7" i="20" s="1"/>
  <c r="AK7" i="20" s="1"/>
  <c r="AL6" i="20"/>
  <c r="AG7" i="18"/>
  <c r="AH7" i="18" s="1"/>
  <c r="AI7" i="18" s="1"/>
  <c r="AJ7" i="18" s="1"/>
  <c r="AK7" i="18" s="1"/>
  <c r="AL6" i="18"/>
  <c r="AB6" i="16"/>
  <c r="W7" i="16"/>
  <c r="X7" i="16" s="1"/>
  <c r="Y7" i="16" s="1"/>
  <c r="Z7" i="16" s="1"/>
  <c r="AA7" i="16" s="1"/>
  <c r="AL7" i="20" l="1"/>
  <c r="AM7" i="20" s="1"/>
  <c r="AN7" i="20" s="1"/>
  <c r="AO7" i="20" s="1"/>
  <c r="AP7" i="20" s="1"/>
  <c r="AQ6" i="20"/>
  <c r="AL7" i="18"/>
  <c r="AM7" i="18" s="1"/>
  <c r="AN7" i="18" s="1"/>
  <c r="AO7" i="18" s="1"/>
  <c r="AP7" i="18" s="1"/>
  <c r="AQ6" i="18"/>
  <c r="AB7" i="16"/>
  <c r="AC7" i="16" s="1"/>
  <c r="AD7" i="16" s="1"/>
  <c r="AE7" i="16" s="1"/>
  <c r="AF7" i="16" s="1"/>
  <c r="AG6" i="16"/>
  <c r="AQ7" i="20" l="1"/>
  <c r="AR7" i="20" s="1"/>
  <c r="AS7" i="20" s="1"/>
  <c r="AT7" i="20" s="1"/>
  <c r="AU7" i="20" s="1"/>
  <c r="AV6" i="20"/>
  <c r="AQ7" i="18"/>
  <c r="AR7" i="18" s="1"/>
  <c r="AS7" i="18" s="1"/>
  <c r="AT7" i="18" s="1"/>
  <c r="AU7" i="18" s="1"/>
  <c r="AV6" i="18"/>
  <c r="AL6" i="16"/>
  <c r="AG7" i="16"/>
  <c r="AH7" i="16" s="1"/>
  <c r="AI7" i="16" s="1"/>
  <c r="AJ7" i="16" s="1"/>
  <c r="AK7" i="16" s="1"/>
  <c r="AV7" i="20" l="1"/>
  <c r="AW7" i="20" s="1"/>
  <c r="AX7" i="20" s="1"/>
  <c r="AY7" i="20" s="1"/>
  <c r="AZ7" i="20" s="1"/>
  <c r="BA6" i="20"/>
  <c r="AV7" i="18"/>
  <c r="AW7" i="18" s="1"/>
  <c r="AX7" i="18" s="1"/>
  <c r="AY7" i="18" s="1"/>
  <c r="AZ7" i="18" s="1"/>
  <c r="BA6" i="18"/>
  <c r="AL7" i="16"/>
  <c r="AM7" i="16" s="1"/>
  <c r="AN7" i="16" s="1"/>
  <c r="AO7" i="16" s="1"/>
  <c r="AP7" i="16" s="1"/>
  <c r="AQ6" i="16"/>
  <c r="BA7" i="20" l="1"/>
  <c r="BB7" i="20" s="1"/>
  <c r="BC7" i="20" s="1"/>
  <c r="BD7" i="20" s="1"/>
  <c r="BE7" i="20" s="1"/>
  <c r="BF6" i="20"/>
  <c r="BA7" i="18"/>
  <c r="BB7" i="18" s="1"/>
  <c r="BC7" i="18" s="1"/>
  <c r="BD7" i="18" s="1"/>
  <c r="BE7" i="18" s="1"/>
  <c r="BF6" i="18"/>
  <c r="AQ7" i="16"/>
  <c r="AR7" i="16" s="1"/>
  <c r="AS7" i="16" s="1"/>
  <c r="AT7" i="16" s="1"/>
  <c r="AU7" i="16" s="1"/>
  <c r="AV6" i="16"/>
  <c r="BF7" i="20" l="1"/>
  <c r="BG7" i="20" s="1"/>
  <c r="BH7" i="20" s="1"/>
  <c r="BI7" i="20" s="1"/>
  <c r="BJ7" i="20" s="1"/>
  <c r="BK6" i="20"/>
  <c r="BF7" i="18"/>
  <c r="BG7" i="18" s="1"/>
  <c r="BH7" i="18" s="1"/>
  <c r="BI7" i="18" s="1"/>
  <c r="BJ7" i="18" s="1"/>
  <c r="BK6" i="18"/>
  <c r="BA6" i="16"/>
  <c r="AV7" i="16"/>
  <c r="AW7" i="16" s="1"/>
  <c r="AX7" i="16" s="1"/>
  <c r="AY7" i="16" s="1"/>
  <c r="AZ7" i="16" s="1"/>
  <c r="BK7" i="20" l="1"/>
  <c r="BL7" i="20" s="1"/>
  <c r="BM7" i="20" s="1"/>
  <c r="BN7" i="20" s="1"/>
  <c r="BO7" i="20" s="1"/>
  <c r="BP6" i="20"/>
  <c r="BK7" i="18"/>
  <c r="BL7" i="18" s="1"/>
  <c r="BM7" i="18" s="1"/>
  <c r="BN7" i="18" s="1"/>
  <c r="BO7" i="18" s="1"/>
  <c r="BP6" i="18"/>
  <c r="BF6" i="16"/>
  <c r="BA7" i="16"/>
  <c r="BB7" i="16" s="1"/>
  <c r="BC7" i="16" s="1"/>
  <c r="BD7" i="16" s="1"/>
  <c r="BE7" i="16" s="1"/>
  <c r="BP7" i="20" l="1"/>
  <c r="BQ7" i="20" s="1"/>
  <c r="BR7" i="20" s="1"/>
  <c r="BS7" i="20" s="1"/>
  <c r="BT7" i="20" s="1"/>
  <c r="BU6" i="20"/>
  <c r="BP7" i="18"/>
  <c r="BQ7" i="18" s="1"/>
  <c r="BR7" i="18" s="1"/>
  <c r="BS7" i="18" s="1"/>
  <c r="BT7" i="18" s="1"/>
  <c r="BU6" i="18"/>
  <c r="BF7" i="16"/>
  <c r="BG7" i="16" s="1"/>
  <c r="BH7" i="16" s="1"/>
  <c r="BI7" i="16" s="1"/>
  <c r="BJ7" i="16" s="1"/>
  <c r="BK6" i="16"/>
  <c r="BU7" i="20" l="1"/>
  <c r="BV7" i="20" s="1"/>
  <c r="BW7" i="20" s="1"/>
  <c r="BX7" i="20" s="1"/>
  <c r="BY7" i="20" s="1"/>
  <c r="BZ6" i="20"/>
  <c r="BU7" i="18"/>
  <c r="BV7" i="18" s="1"/>
  <c r="BW7" i="18" s="1"/>
  <c r="BX7" i="18" s="1"/>
  <c r="BY7" i="18" s="1"/>
  <c r="BZ6" i="18"/>
  <c r="BP6" i="16"/>
  <c r="BK7" i="16"/>
  <c r="BL7" i="16" s="1"/>
  <c r="BM7" i="16" s="1"/>
  <c r="BN7" i="16" s="1"/>
  <c r="BO7" i="16" s="1"/>
  <c r="BZ7" i="20" l="1"/>
  <c r="CA7" i="20" s="1"/>
  <c r="CB7" i="20" s="1"/>
  <c r="CC7" i="20" s="1"/>
  <c r="CD7" i="20" s="1"/>
  <c r="CE6" i="20"/>
  <c r="BZ7" i="18"/>
  <c r="CA7" i="18" s="1"/>
  <c r="CB7" i="18" s="1"/>
  <c r="CC7" i="18" s="1"/>
  <c r="CD7" i="18" s="1"/>
  <c r="CE6" i="18"/>
  <c r="BP7" i="16"/>
  <c r="BQ7" i="16" s="1"/>
  <c r="BR7" i="16" s="1"/>
  <c r="BS7" i="16" s="1"/>
  <c r="BT7" i="16" s="1"/>
  <c r="BU6" i="16"/>
  <c r="CE7" i="20" l="1"/>
  <c r="CF7" i="20" s="1"/>
  <c r="CG7" i="20" s="1"/>
  <c r="CH7" i="20" s="1"/>
  <c r="CI7" i="20" s="1"/>
  <c r="CJ6" i="20"/>
  <c r="CJ7" i="20" s="1"/>
  <c r="CK7" i="20" s="1"/>
  <c r="CL7" i="20" s="1"/>
  <c r="CM7" i="20" s="1"/>
  <c r="CN7" i="20" s="1"/>
  <c r="CE7" i="18"/>
  <c r="CF7" i="18" s="1"/>
  <c r="CG7" i="18" s="1"/>
  <c r="CH7" i="18" s="1"/>
  <c r="CI7" i="18" s="1"/>
  <c r="CJ6" i="18"/>
  <c r="CJ7" i="18" s="1"/>
  <c r="CK7" i="18" s="1"/>
  <c r="CL7" i="18" s="1"/>
  <c r="CM7" i="18" s="1"/>
  <c r="CN7" i="18" s="1"/>
  <c r="BU7" i="16"/>
  <c r="BV7" i="16" s="1"/>
  <c r="BW7" i="16" s="1"/>
  <c r="BX7" i="16" s="1"/>
  <c r="BY7" i="16" s="1"/>
  <c r="BZ6" i="16"/>
  <c r="BZ7" i="16" l="1"/>
  <c r="CA7" i="16" s="1"/>
  <c r="CB7" i="16" s="1"/>
  <c r="CC7" i="16" s="1"/>
  <c r="CD7" i="16" s="1"/>
  <c r="CE6" i="16"/>
  <c r="CE7" i="16" l="1"/>
  <c r="CF7" i="16" s="1"/>
  <c r="CG7" i="16" s="1"/>
  <c r="CH7" i="16" s="1"/>
  <c r="CI7" i="16" s="1"/>
  <c r="CJ6" i="16"/>
  <c r="CJ7" i="16" s="1"/>
  <c r="CK7" i="16" s="1"/>
  <c r="CL7" i="16" s="1"/>
  <c r="CM7" i="16" s="1"/>
  <c r="CN7" i="16" s="1"/>
</calcChain>
</file>

<file path=xl/sharedStrings.xml><?xml version="1.0" encoding="utf-8"?>
<sst xmlns="http://schemas.openxmlformats.org/spreadsheetml/2006/main" count="424" uniqueCount="86">
  <si>
    <t>企画制作　進捗管理表</t>
    <phoneticPr fontId="19"/>
  </si>
  <si>
    <t xml:space="preserve"> 制作開始日:</t>
    <phoneticPr fontId="19"/>
  </si>
  <si>
    <t>チーム名：幸せの曲がり角</t>
    <rPh sb="5" eb="6">
      <t>シアワ</t>
    </rPh>
    <rPh sb="8" eb="9">
      <t>マ</t>
    </rPh>
    <rPh sb="11" eb="12">
      <t>カド</t>
    </rPh>
    <phoneticPr fontId="19"/>
  </si>
  <si>
    <t>リーダー：遠藤直樹</t>
    <rPh sb="5" eb="9">
      <t>エンドウナオキ</t>
    </rPh>
    <phoneticPr fontId="19"/>
  </si>
  <si>
    <t>メンバー：押川征矢　勝吉虹斗</t>
    <rPh sb="5" eb="7">
      <t>オシカワ</t>
    </rPh>
    <rPh sb="7" eb="8">
      <t>セイ</t>
    </rPh>
    <rPh sb="8" eb="9">
      <t>ヤ</t>
    </rPh>
    <rPh sb="10" eb="12">
      <t>カツヨシ</t>
    </rPh>
    <rPh sb="12" eb="13">
      <t>ニジ</t>
    </rPh>
    <rPh sb="13" eb="14">
      <t>ト</t>
    </rPh>
    <phoneticPr fontId="19"/>
  </si>
  <si>
    <t>α</t>
  </si>
  <si>
    <t>β</t>
  </si>
  <si>
    <t>FiX</t>
  </si>
  <si>
    <t>予定</t>
    <rPh sb="0" eb="2">
      <t>ヨテイ</t>
    </rPh>
    <phoneticPr fontId="19"/>
  </si>
  <si>
    <t>実績</t>
    <rPh sb="0" eb="2">
      <t>ジッセキ</t>
    </rPh>
    <phoneticPr fontId="19"/>
  </si>
  <si>
    <t>タスク名</t>
    <rPh sb="3" eb="4">
      <t>メイ</t>
    </rPh>
    <phoneticPr fontId="19"/>
  </si>
  <si>
    <t>担当者</t>
  </si>
  <si>
    <t>進捗(%)</t>
    <phoneticPr fontId="19"/>
  </si>
  <si>
    <t>開始日</t>
    <rPh sb="2" eb="3">
      <t>ビ</t>
    </rPh>
    <phoneticPr fontId="19"/>
  </si>
  <si>
    <t>終了日</t>
    <rPh sb="2" eb="3">
      <t>テイジツ</t>
    </rPh>
    <phoneticPr fontId="19"/>
  </si>
  <si>
    <t>月</t>
    <rPh sb="0" eb="1">
      <t>ゲツ</t>
    </rPh>
    <phoneticPr fontId="19"/>
  </si>
  <si>
    <t>火</t>
    <rPh sb="0" eb="1">
      <t>カ</t>
    </rPh>
    <phoneticPr fontId="19"/>
  </si>
  <si>
    <t>水</t>
    <rPh sb="0" eb="1">
      <t>スイ</t>
    </rPh>
    <phoneticPr fontId="19"/>
  </si>
  <si>
    <t>木</t>
    <rPh sb="0" eb="1">
      <t>モク</t>
    </rPh>
    <phoneticPr fontId="19"/>
  </si>
  <si>
    <t>金</t>
    <rPh sb="0" eb="1">
      <t>キン</t>
    </rPh>
    <phoneticPr fontId="19"/>
  </si>
  <si>
    <t>プレイヤーキャラクター</t>
    <phoneticPr fontId="19"/>
  </si>
  <si>
    <t>全員</t>
    <rPh sb="0" eb="2">
      <t>ゼンイン</t>
    </rPh>
    <phoneticPr fontId="19"/>
  </si>
  <si>
    <t>移動</t>
    <rPh sb="0" eb="2">
      <t>イドウ</t>
    </rPh>
    <phoneticPr fontId="19"/>
  </si>
  <si>
    <t>勝吉</t>
    <rPh sb="0" eb="2">
      <t>カツヨシ</t>
    </rPh>
    <phoneticPr fontId="19"/>
  </si>
  <si>
    <t>アイテムの適用</t>
    <rPh sb="5" eb="7">
      <t>テキヨウ</t>
    </rPh>
    <phoneticPr fontId="19"/>
  </si>
  <si>
    <t>押川</t>
    <rPh sb="0" eb="2">
      <t>オシカワ</t>
    </rPh>
    <phoneticPr fontId="19"/>
  </si>
  <si>
    <t>描画</t>
    <rPh sb="0" eb="2">
      <t>ビョウガ</t>
    </rPh>
    <phoneticPr fontId="19"/>
  </si>
  <si>
    <t>画像制作</t>
  </si>
  <si>
    <t>遠藤</t>
    <rPh sb="0" eb="2">
      <t>エンドウ</t>
    </rPh>
    <phoneticPr fontId="19"/>
  </si>
  <si>
    <t>タスク名５(6以上は行を挿入)</t>
    <rPh sb="3" eb="4">
      <t>メイ</t>
    </rPh>
    <rPh sb="7" eb="9">
      <t>イジョウ</t>
    </rPh>
    <rPh sb="10" eb="11">
      <t>ギョウ</t>
    </rPh>
    <rPh sb="12" eb="14">
      <t>ソウニュウ</t>
    </rPh>
    <phoneticPr fontId="19"/>
  </si>
  <si>
    <t>マップ</t>
    <phoneticPr fontId="19"/>
  </si>
  <si>
    <t>マップチップ</t>
    <phoneticPr fontId="19"/>
  </si>
  <si>
    <t>オブジェクト</t>
    <phoneticPr fontId="19"/>
  </si>
  <si>
    <t>マップ雰囲気</t>
    <rPh sb="3" eb="6">
      <t>フンイキ</t>
    </rPh>
    <phoneticPr fontId="19"/>
  </si>
  <si>
    <t>マッププログラム</t>
    <phoneticPr fontId="19"/>
  </si>
  <si>
    <t>マップ描画</t>
    <rPh sb="3" eb="5">
      <t>ビョウガ</t>
    </rPh>
    <phoneticPr fontId="19"/>
  </si>
  <si>
    <t>敵の描写</t>
    <rPh sb="0" eb="1">
      <t>テキ</t>
    </rPh>
    <rPh sb="2" eb="4">
      <t>ビョウシャ</t>
    </rPh>
    <phoneticPr fontId="19"/>
  </si>
  <si>
    <t>全員</t>
  </si>
  <si>
    <t>遠藤</t>
  </si>
  <si>
    <t>当たり判定</t>
    <rPh sb="0" eb="1">
      <t>ア</t>
    </rPh>
    <rPh sb="3" eb="5">
      <t>ハンテイ</t>
    </rPh>
    <phoneticPr fontId="19"/>
  </si>
  <si>
    <t>タスク名４</t>
    <rPh sb="3" eb="4">
      <t>メイ</t>
    </rPh>
    <phoneticPr fontId="19"/>
  </si>
  <si>
    <t>タスク名５(6以上は行を挿入)</t>
    <rPh sb="3" eb="4">
      <t>メイ</t>
    </rPh>
    <phoneticPr fontId="19"/>
  </si>
  <si>
    <t>UI</t>
  </si>
  <si>
    <t>タイトル画像</t>
  </si>
  <si>
    <t>ゲームオーバー画像</t>
  </si>
  <si>
    <t>ミニマップ</t>
    <phoneticPr fontId="19"/>
  </si>
  <si>
    <t>予備作業期間</t>
    <rPh sb="0" eb="2">
      <t>ヨビ</t>
    </rPh>
    <rPh sb="2" eb="4">
      <t>サギョウ</t>
    </rPh>
    <rPh sb="4" eb="6">
      <t>キカン</t>
    </rPh>
    <phoneticPr fontId="19"/>
  </si>
  <si>
    <t>タスク名１</t>
  </si>
  <si>
    <t>※ 各作業で行が不足する場合は、既存の行をコピーして挿入してください。</t>
    <rPh sb="2" eb="3">
      <t>カク</t>
    </rPh>
    <rPh sb="3" eb="5">
      <t>サギョウ</t>
    </rPh>
    <rPh sb="6" eb="7">
      <t>ギョウ</t>
    </rPh>
    <rPh sb="8" eb="10">
      <t>フソク</t>
    </rPh>
    <rPh sb="12" eb="14">
      <t>バアイ</t>
    </rPh>
    <rPh sb="16" eb="18">
      <t>キゾン</t>
    </rPh>
    <rPh sb="19" eb="20">
      <t>ギョウ</t>
    </rPh>
    <phoneticPr fontId="19"/>
  </si>
  <si>
    <t>デコイ生成</t>
  </si>
  <si>
    <t>雪でのプレイヤー移動</t>
  </si>
  <si>
    <t>マップチップ（256）</t>
  </si>
  <si>
    <t>アイテム</t>
  </si>
  <si>
    <t>マップ製作</t>
  </si>
  <si>
    <t>マップ当たり判定</t>
  </si>
  <si>
    <t>カメラスクロール</t>
  </si>
  <si>
    <t>押川</t>
  </si>
  <si>
    <t>移動</t>
  </si>
  <si>
    <t>遠藤　勝吉</t>
  </si>
  <si>
    <t>行動アルゴリズム</t>
  </si>
  <si>
    <t>索敵</t>
  </si>
  <si>
    <t>勝吉</t>
  </si>
  <si>
    <t>アイテム画像</t>
  </si>
  <si>
    <t>クラス作成</t>
  </si>
  <si>
    <t>描画</t>
  </si>
  <si>
    <t>種類</t>
  </si>
  <si>
    <t>カメラ</t>
  </si>
  <si>
    <t>ゴール条件</t>
  </si>
  <si>
    <t>難易度</t>
  </si>
  <si>
    <t>オプション</t>
  </si>
  <si>
    <t>操作説明</t>
  </si>
  <si>
    <t>目的</t>
  </si>
  <si>
    <t>サウンドマネージャー</t>
  </si>
  <si>
    <t>矢印表示</t>
  </si>
  <si>
    <t>調整</t>
  </si>
  <si>
    <t>難易度追加(イージー)</t>
  </si>
  <si>
    <t>ステージマップ</t>
  </si>
  <si>
    <t>難易度追加(ハード)</t>
  </si>
  <si>
    <t>難易度での秒数</t>
  </si>
  <si>
    <t>グラフィック(全般)</t>
  </si>
  <si>
    <t>音楽、効果音</t>
  </si>
  <si>
    <t>メンバー：</t>
    <phoneticPr fontId="19"/>
  </si>
  <si>
    <t>プレイヤー</t>
    <phoneticPr fontId="19"/>
  </si>
  <si>
    <t>敵</t>
    <phoneticPr fontId="19"/>
  </si>
  <si>
    <t>カメラ</t>
    <phoneticPr fontId="19"/>
  </si>
  <si>
    <t>戦闘シーン</t>
    <rPh sb="0" eb="2">
      <t>セントウ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</si>
</sst>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m/d/yy;@"/>
    <numFmt numFmtId="179" formatCode="aaa\,\ yyyy/m/d"/>
    <numFmt numFmtId="180" formatCode="d"/>
    <numFmt numFmtId="181" formatCode="m&quot;月&quot;d&quot;日&quot;;@"/>
    <numFmt numFmtId="182" formatCode="yyyy/m/d\ \,\ aaa"/>
    <numFmt numFmtId="183" formatCode="yyyy&quot;年&quot;m&quot;月&quot;d&quot;日&quot;\ \ \ &quot;(&quot;aaa&quot;)&quot;"/>
  </numFmts>
  <fonts count="32" x14ac:knownFonts="1">
    <font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i/>
      <sz val="11"/>
      <color rgb="FF7F7F7F"/>
      <name val="Meiryo UI"/>
      <family val="2"/>
    </font>
    <font>
      <u/>
      <sz val="11"/>
      <color theme="11"/>
      <name val="Meiryo UI"/>
      <family val="2"/>
    </font>
    <font>
      <sz val="11"/>
      <color rgb="FF006100"/>
      <name val="Meiryo UI"/>
      <family val="2"/>
    </font>
    <font>
      <sz val="14"/>
      <color theme="1"/>
      <name val="Meiryo UI"/>
      <family val="2"/>
    </font>
    <font>
      <b/>
      <sz val="11"/>
      <color theme="3"/>
      <name val="Meiryo UI"/>
      <family val="2"/>
    </font>
    <font>
      <u/>
      <sz val="11"/>
      <color indexed="12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22"/>
      <color theme="1" tint="0.34998626667073579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6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1"/>
      <color theme="1"/>
      <name val="Meiryo UI"/>
      <family val="3"/>
      <charset val="128"/>
    </font>
    <font>
      <b/>
      <sz val="14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0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1"/>
      <color rgb="FF000000"/>
      <name val="メイリオ"/>
      <family val="3"/>
      <charset val="128"/>
    </font>
    <font>
      <b/>
      <sz val="11"/>
      <color rgb="FF000000"/>
      <name val="メイリオ"/>
      <family val="3"/>
      <charset val="128"/>
    </font>
    <font>
      <sz val="11"/>
      <name val="メイリオ"/>
      <family val="3"/>
      <charset val="128"/>
    </font>
  </fonts>
  <fills count="4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  <xf numFmtId="177" fontId="1" fillId="0" borderId="2" applyFont="0" applyFill="0" applyAlignment="0" applyProtection="0"/>
    <xf numFmtId="0" fontId="16" fillId="0" borderId="0" applyNumberFormat="0" applyFill="0" applyBorder="0" applyAlignment="0" applyProtection="0"/>
    <xf numFmtId="0" fontId="9" fillId="0" borderId="0" applyNumberFormat="0" applyFill="0" applyAlignment="0" applyProtection="0"/>
    <xf numFmtId="0" fontId="9" fillId="0" borderId="0" applyNumberFormat="0" applyFill="0" applyProtection="0">
      <alignment vertical="top"/>
    </xf>
    <xf numFmtId="0" fontId="1" fillId="0" borderId="0" applyNumberFormat="0" applyFill="0" applyProtection="0">
      <alignment horizontal="right" indent="1"/>
    </xf>
    <xf numFmtId="179" fontId="1" fillId="0" borderId="2">
      <alignment horizontal="center" vertical="center"/>
    </xf>
    <xf numFmtId="178" fontId="1" fillId="0" borderId="1" applyFill="0">
      <alignment horizontal="center" vertical="center"/>
    </xf>
    <xf numFmtId="0" fontId="1" fillId="0" borderId="1" applyFill="0">
      <alignment horizontal="center" vertical="center"/>
    </xf>
    <xf numFmtId="0" fontId="1" fillId="0" borderId="1" applyFill="0">
      <alignment horizontal="left" vertical="center" indent="2"/>
    </xf>
    <xf numFmtId="0" fontId="7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3" fillId="8" borderId="0" applyNumberFormat="0" applyBorder="0" applyAlignment="0" applyProtection="0"/>
    <xf numFmtId="0" fontId="14" fillId="9" borderId="0" applyNumberFormat="0" applyBorder="0" applyAlignment="0" applyProtection="0"/>
    <xf numFmtId="0" fontId="12" fillId="10" borderId="3" applyNumberFormat="0" applyAlignment="0" applyProtection="0"/>
    <xf numFmtId="0" fontId="15" fillId="11" borderId="4" applyNumberFormat="0" applyAlignment="0" applyProtection="0"/>
    <xf numFmtId="0" fontId="4" fillId="11" borderId="3" applyNumberFormat="0" applyAlignment="0" applyProtection="0"/>
    <xf numFmtId="0" fontId="13" fillId="0" borderId="5" applyNumberFormat="0" applyFill="0" applyAlignment="0" applyProtection="0"/>
    <xf numFmtId="0" fontId="5" fillId="12" borderId="6" applyNumberFormat="0" applyAlignment="0" applyProtection="0"/>
    <xf numFmtId="0" fontId="18" fillId="0" borderId="0" applyNumberFormat="0" applyFill="0" applyBorder="0" applyAlignment="0" applyProtection="0"/>
    <xf numFmtId="0" fontId="1" fillId="13" borderId="7" applyNumberFormat="0" applyFont="0" applyAlignment="0" applyProtection="0"/>
    <xf numFmtId="0" fontId="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128">
    <xf numFmtId="0" fontId="0" fillId="0" borderId="0" xfId="0"/>
    <xf numFmtId="0" fontId="20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22" fillId="39" borderId="9" xfId="0" applyFont="1" applyFill="1" applyBorder="1" applyAlignment="1" applyProtection="1">
      <alignment shrinkToFit="1"/>
      <protection locked="0"/>
    </xf>
    <xf numFmtId="0" fontId="20" fillId="39" borderId="9" xfId="0" applyFont="1" applyFill="1" applyBorder="1" applyProtection="1">
      <protection locked="0"/>
    </xf>
    <xf numFmtId="0" fontId="20" fillId="39" borderId="9" xfId="0" applyFont="1" applyFill="1" applyBorder="1" applyAlignment="1" applyProtection="1">
      <alignment horizontal="center"/>
      <protection locked="0"/>
    </xf>
    <xf numFmtId="181" fontId="20" fillId="39" borderId="9" xfId="0" applyNumberFormat="1" applyFont="1" applyFill="1" applyBorder="1" applyProtection="1">
      <protection locked="0"/>
    </xf>
    <xf numFmtId="180" fontId="21" fillId="39" borderId="10" xfId="0" applyNumberFormat="1" applyFont="1" applyFill="1" applyBorder="1" applyAlignment="1" applyProtection="1">
      <alignment horizontal="center"/>
      <protection locked="0"/>
    </xf>
    <xf numFmtId="0" fontId="20" fillId="39" borderId="11" xfId="0" applyFont="1" applyFill="1" applyBorder="1" applyProtection="1">
      <protection locked="0"/>
    </xf>
    <xf numFmtId="0" fontId="20" fillId="39" borderId="12" xfId="0" applyFont="1" applyFill="1" applyBorder="1" applyProtection="1">
      <protection locked="0"/>
    </xf>
    <xf numFmtId="0" fontId="20" fillId="38" borderId="9" xfId="0" applyFont="1" applyFill="1" applyBorder="1" applyProtection="1">
      <protection locked="0"/>
    </xf>
    <xf numFmtId="0" fontId="20" fillId="38" borderId="9" xfId="0" applyFont="1" applyFill="1" applyBorder="1" applyAlignment="1" applyProtection="1">
      <alignment horizontal="center"/>
      <protection locked="0"/>
    </xf>
    <xf numFmtId="181" fontId="20" fillId="38" borderId="9" xfId="0" applyNumberFormat="1" applyFont="1" applyFill="1" applyBorder="1" applyProtection="1">
      <protection locked="0"/>
    </xf>
    <xf numFmtId="0" fontId="20" fillId="38" borderId="10" xfId="0" applyFont="1" applyFill="1" applyBorder="1" applyProtection="1">
      <protection locked="0"/>
    </xf>
    <xf numFmtId="0" fontId="20" fillId="38" borderId="11" xfId="0" applyFont="1" applyFill="1" applyBorder="1" applyProtection="1">
      <protection locked="0"/>
    </xf>
    <xf numFmtId="0" fontId="20" fillId="38" borderId="12" xfId="0" applyFont="1" applyFill="1" applyBorder="1" applyProtection="1">
      <protection locked="0"/>
    </xf>
    <xf numFmtId="0" fontId="22" fillId="4" borderId="9" xfId="0" applyFont="1" applyFill="1" applyBorder="1" applyAlignment="1" applyProtection="1">
      <alignment shrinkToFit="1"/>
      <protection locked="0"/>
    </xf>
    <xf numFmtId="0" fontId="20" fillId="4" borderId="9" xfId="0" applyFont="1" applyFill="1" applyBorder="1" applyProtection="1">
      <protection locked="0"/>
    </xf>
    <xf numFmtId="0" fontId="20" fillId="4" borderId="9" xfId="0" applyFont="1" applyFill="1" applyBorder="1" applyAlignment="1" applyProtection="1">
      <alignment horizontal="center"/>
      <protection locked="0"/>
    </xf>
    <xf numFmtId="181" fontId="20" fillId="4" borderId="9" xfId="0" applyNumberFormat="1" applyFont="1" applyFill="1" applyBorder="1" applyProtection="1">
      <protection locked="0"/>
    </xf>
    <xf numFmtId="0" fontId="20" fillId="4" borderId="10" xfId="0" applyFont="1" applyFill="1" applyBorder="1" applyProtection="1">
      <protection locked="0"/>
    </xf>
    <xf numFmtId="0" fontId="20" fillId="4" borderId="11" xfId="0" applyFont="1" applyFill="1" applyBorder="1" applyProtection="1">
      <protection locked="0"/>
    </xf>
    <xf numFmtId="0" fontId="20" fillId="4" borderId="12" xfId="0" applyFont="1" applyFill="1" applyBorder="1" applyProtection="1">
      <protection locked="0"/>
    </xf>
    <xf numFmtId="0" fontId="20" fillId="2" borderId="9" xfId="0" applyFont="1" applyFill="1" applyBorder="1" applyProtection="1">
      <protection locked="0"/>
    </xf>
    <xf numFmtId="0" fontId="20" fillId="2" borderId="9" xfId="0" applyFont="1" applyFill="1" applyBorder="1" applyAlignment="1" applyProtection="1">
      <alignment horizontal="center"/>
      <protection locked="0"/>
    </xf>
    <xf numFmtId="181" fontId="20" fillId="2" borderId="9" xfId="0" applyNumberFormat="1" applyFont="1" applyFill="1" applyBorder="1" applyProtection="1">
      <protection locked="0"/>
    </xf>
    <xf numFmtId="0" fontId="20" fillId="2" borderId="10" xfId="0" applyFont="1" applyFill="1" applyBorder="1" applyProtection="1">
      <protection locked="0"/>
    </xf>
    <xf numFmtId="0" fontId="20" fillId="2" borderId="11" xfId="0" applyFont="1" applyFill="1" applyBorder="1" applyProtection="1">
      <protection locked="0"/>
    </xf>
    <xf numFmtId="0" fontId="20" fillId="2" borderId="12" xfId="0" applyFont="1" applyFill="1" applyBorder="1" applyProtection="1">
      <protection locked="0"/>
    </xf>
    <xf numFmtId="0" fontId="22" fillId="3" borderId="9" xfId="0" applyFont="1" applyFill="1" applyBorder="1" applyAlignment="1" applyProtection="1">
      <alignment shrinkToFit="1"/>
      <protection locked="0"/>
    </xf>
    <xf numFmtId="0" fontId="20" fillId="3" borderId="9" xfId="0" applyFont="1" applyFill="1" applyBorder="1" applyProtection="1">
      <protection locked="0"/>
    </xf>
    <xf numFmtId="0" fontId="20" fillId="3" borderId="9" xfId="0" applyFont="1" applyFill="1" applyBorder="1" applyAlignment="1" applyProtection="1">
      <alignment horizontal="center"/>
      <protection locked="0"/>
    </xf>
    <xf numFmtId="181" fontId="20" fillId="3" borderId="9" xfId="0" applyNumberFormat="1" applyFont="1" applyFill="1" applyBorder="1" applyProtection="1">
      <protection locked="0"/>
    </xf>
    <xf numFmtId="0" fontId="20" fillId="3" borderId="10" xfId="0" applyFont="1" applyFill="1" applyBorder="1" applyProtection="1">
      <protection locked="0"/>
    </xf>
    <xf numFmtId="0" fontId="20" fillId="3" borderId="11" xfId="0" applyFont="1" applyFill="1" applyBorder="1" applyProtection="1">
      <protection locked="0"/>
    </xf>
    <xf numFmtId="0" fontId="20" fillId="3" borderId="12" xfId="0" applyFont="1" applyFill="1" applyBorder="1" applyProtection="1">
      <protection locked="0"/>
    </xf>
    <xf numFmtId="0" fontId="20" fillId="6" borderId="9" xfId="0" applyFont="1" applyFill="1" applyBorder="1" applyProtection="1">
      <protection locked="0"/>
    </xf>
    <xf numFmtId="0" fontId="20" fillId="6" borderId="9" xfId="0" applyFont="1" applyFill="1" applyBorder="1" applyAlignment="1" applyProtection="1">
      <alignment horizontal="center"/>
      <protection locked="0"/>
    </xf>
    <xf numFmtId="181" fontId="20" fillId="6" borderId="9" xfId="0" applyNumberFormat="1" applyFont="1" applyFill="1" applyBorder="1" applyProtection="1">
      <protection locked="0"/>
    </xf>
    <xf numFmtId="0" fontId="20" fillId="6" borderId="10" xfId="0" applyFont="1" applyFill="1" applyBorder="1" applyProtection="1">
      <protection locked="0"/>
    </xf>
    <xf numFmtId="0" fontId="20" fillId="6" borderId="11" xfId="0" applyFont="1" applyFill="1" applyBorder="1" applyProtection="1">
      <protection locked="0"/>
    </xf>
    <xf numFmtId="0" fontId="20" fillId="6" borderId="12" xfId="0" applyFont="1" applyFill="1" applyBorder="1" applyProtection="1">
      <protection locked="0"/>
    </xf>
    <xf numFmtId="0" fontId="22" fillId="40" borderId="9" xfId="0" applyFont="1" applyFill="1" applyBorder="1" applyAlignment="1" applyProtection="1">
      <alignment shrinkToFit="1"/>
      <protection locked="0"/>
    </xf>
    <xf numFmtId="0" fontId="20" fillId="40" borderId="9" xfId="0" applyFont="1" applyFill="1" applyBorder="1" applyProtection="1">
      <protection locked="0"/>
    </xf>
    <xf numFmtId="0" fontId="20" fillId="40" borderId="9" xfId="0" applyFont="1" applyFill="1" applyBorder="1" applyAlignment="1" applyProtection="1">
      <alignment horizontal="center"/>
      <protection locked="0"/>
    </xf>
    <xf numFmtId="181" fontId="20" fillId="40" borderId="9" xfId="0" applyNumberFormat="1" applyFont="1" applyFill="1" applyBorder="1" applyProtection="1">
      <protection locked="0"/>
    </xf>
    <xf numFmtId="0" fontId="20" fillId="40" borderId="10" xfId="0" applyFont="1" applyFill="1" applyBorder="1" applyProtection="1">
      <protection locked="0"/>
    </xf>
    <xf numFmtId="0" fontId="20" fillId="40" borderId="11" xfId="0" applyFont="1" applyFill="1" applyBorder="1" applyProtection="1">
      <protection locked="0"/>
    </xf>
    <xf numFmtId="0" fontId="20" fillId="40" borderId="12" xfId="0" applyFont="1" applyFill="1" applyBorder="1" applyProtection="1">
      <protection locked="0"/>
    </xf>
    <xf numFmtId="0" fontId="20" fillId="41" borderId="9" xfId="0" applyFont="1" applyFill="1" applyBorder="1" applyProtection="1">
      <protection locked="0"/>
    </xf>
    <xf numFmtId="0" fontId="20" fillId="41" borderId="9" xfId="0" applyFont="1" applyFill="1" applyBorder="1" applyAlignment="1" applyProtection="1">
      <alignment horizontal="center"/>
      <protection locked="0"/>
    </xf>
    <xf numFmtId="181" fontId="20" fillId="41" borderId="9" xfId="0" applyNumberFormat="1" applyFont="1" applyFill="1" applyBorder="1" applyProtection="1">
      <protection locked="0"/>
    </xf>
    <xf numFmtId="0" fontId="20" fillId="41" borderId="10" xfId="0" applyFont="1" applyFill="1" applyBorder="1" applyProtection="1">
      <protection locked="0"/>
    </xf>
    <xf numFmtId="0" fontId="20" fillId="41" borderId="11" xfId="0" applyFont="1" applyFill="1" applyBorder="1" applyProtection="1">
      <protection locked="0"/>
    </xf>
    <xf numFmtId="0" fontId="20" fillId="41" borderId="12" xfId="0" applyFont="1" applyFill="1" applyBorder="1" applyProtection="1">
      <protection locked="0"/>
    </xf>
    <xf numFmtId="0" fontId="20" fillId="5" borderId="0" xfId="0" applyFont="1" applyFill="1" applyProtection="1">
      <protection locked="0"/>
    </xf>
    <xf numFmtId="0" fontId="20" fillId="5" borderId="0" xfId="0" applyFont="1" applyFill="1" applyAlignment="1" applyProtection="1">
      <alignment horizontal="center"/>
      <protection locked="0"/>
    </xf>
    <xf numFmtId="0" fontId="20" fillId="38" borderId="9" xfId="0" applyFont="1" applyFill="1" applyBorder="1" applyAlignment="1" applyProtection="1">
      <alignment horizontal="left" indent="1" shrinkToFit="1"/>
      <protection locked="0"/>
    </xf>
    <xf numFmtId="0" fontId="20" fillId="2" borderId="9" xfId="0" applyFont="1" applyFill="1" applyBorder="1" applyAlignment="1" applyProtection="1">
      <alignment horizontal="left" indent="1" shrinkToFit="1"/>
      <protection locked="0"/>
    </xf>
    <xf numFmtId="0" fontId="20" fillId="6" borderId="9" xfId="0" applyFont="1" applyFill="1" applyBorder="1" applyAlignment="1" applyProtection="1">
      <alignment horizontal="left" indent="1" shrinkToFit="1"/>
      <protection locked="0"/>
    </xf>
    <xf numFmtId="0" fontId="20" fillId="41" borderId="9" xfId="0" applyFont="1" applyFill="1" applyBorder="1" applyAlignment="1" applyProtection="1">
      <alignment horizontal="left" indent="1" shrinkToFit="1"/>
      <protection locked="0"/>
    </xf>
    <xf numFmtId="0" fontId="20" fillId="0" borderId="0" xfId="0" applyFont="1"/>
    <xf numFmtId="0" fontId="20" fillId="0" borderId="0" xfId="0" applyFont="1" applyAlignment="1">
      <alignment horizontal="center"/>
    </xf>
    <xf numFmtId="180" fontId="21" fillId="0" borderId="9" xfId="0" applyNumberFormat="1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0" fillId="0" borderId="0" xfId="0" applyFont="1" applyAlignment="1">
      <alignment horizontal="right"/>
    </xf>
    <xf numFmtId="0" fontId="25" fillId="0" borderId="0" xfId="0" applyFont="1" applyAlignment="1">
      <alignment horizontal="right" vertical="center"/>
    </xf>
    <xf numFmtId="0" fontId="24" fillId="0" borderId="0" xfId="0" applyFont="1" applyAlignment="1">
      <alignment vertical="top"/>
    </xf>
    <xf numFmtId="0" fontId="22" fillId="5" borderId="0" xfId="0" applyFont="1" applyFill="1"/>
    <xf numFmtId="0" fontId="22" fillId="42" borderId="9" xfId="0" applyFont="1" applyFill="1" applyBorder="1" applyAlignment="1" applyProtection="1">
      <alignment shrinkToFit="1"/>
      <protection locked="0"/>
    </xf>
    <xf numFmtId="0" fontId="20" fillId="42" borderId="9" xfId="0" applyFont="1" applyFill="1" applyBorder="1" applyProtection="1">
      <protection locked="0"/>
    </xf>
    <xf numFmtId="0" fontId="20" fillId="42" borderId="9" xfId="0" applyFont="1" applyFill="1" applyBorder="1" applyAlignment="1" applyProtection="1">
      <alignment horizontal="center"/>
      <protection locked="0"/>
    </xf>
    <xf numFmtId="181" fontId="20" fillId="42" borderId="9" xfId="0" applyNumberFormat="1" applyFont="1" applyFill="1" applyBorder="1" applyProtection="1">
      <protection locked="0"/>
    </xf>
    <xf numFmtId="0" fontId="20" fillId="42" borderId="10" xfId="0" applyFont="1" applyFill="1" applyBorder="1" applyProtection="1">
      <protection locked="0"/>
    </xf>
    <xf numFmtId="0" fontId="20" fillId="42" borderId="11" xfId="0" applyFont="1" applyFill="1" applyBorder="1" applyProtection="1">
      <protection locked="0"/>
    </xf>
    <xf numFmtId="0" fontId="20" fillId="42" borderId="12" xfId="0" applyFont="1" applyFill="1" applyBorder="1" applyProtection="1">
      <protection locked="0"/>
    </xf>
    <xf numFmtId="0" fontId="20" fillId="43" borderId="9" xfId="0" applyFont="1" applyFill="1" applyBorder="1" applyAlignment="1" applyProtection="1">
      <alignment horizontal="left" indent="1" shrinkToFit="1"/>
      <protection locked="0"/>
    </xf>
    <xf numFmtId="0" fontId="20" fillId="43" borderId="9" xfId="0" applyFont="1" applyFill="1" applyBorder="1" applyProtection="1">
      <protection locked="0"/>
    </xf>
    <xf numFmtId="0" fontId="20" fillId="43" borderId="9" xfId="0" applyFont="1" applyFill="1" applyBorder="1" applyAlignment="1" applyProtection="1">
      <alignment horizontal="center"/>
      <protection locked="0"/>
    </xf>
    <xf numFmtId="181" fontId="20" fillId="43" borderId="9" xfId="0" applyNumberFormat="1" applyFont="1" applyFill="1" applyBorder="1" applyProtection="1">
      <protection locked="0"/>
    </xf>
    <xf numFmtId="0" fontId="20" fillId="43" borderId="10" xfId="0" applyFont="1" applyFill="1" applyBorder="1" applyProtection="1">
      <protection locked="0"/>
    </xf>
    <xf numFmtId="0" fontId="20" fillId="43" borderId="11" xfId="0" applyFont="1" applyFill="1" applyBorder="1" applyProtection="1">
      <protection locked="0"/>
    </xf>
    <xf numFmtId="0" fontId="20" fillId="43" borderId="12" xfId="0" applyFont="1" applyFill="1" applyBorder="1" applyProtection="1"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180" fontId="27" fillId="0" borderId="9" xfId="0" applyNumberFormat="1" applyFont="1" applyBorder="1" applyAlignment="1">
      <alignment horizontal="center"/>
    </xf>
    <xf numFmtId="0" fontId="20" fillId="44" borderId="11" xfId="0" applyFont="1" applyFill="1" applyBorder="1" applyProtection="1">
      <protection locked="0"/>
    </xf>
    <xf numFmtId="0" fontId="20" fillId="43" borderId="19" xfId="0" applyFont="1" applyFill="1" applyBorder="1" applyProtection="1">
      <protection locked="0"/>
    </xf>
    <xf numFmtId="0" fontId="20" fillId="43" borderId="19" xfId="0" applyFont="1" applyFill="1" applyBorder="1" applyAlignment="1" applyProtection="1">
      <alignment horizontal="center"/>
      <protection locked="0"/>
    </xf>
    <xf numFmtId="181" fontId="20" fillId="43" borderId="19" xfId="0" applyNumberFormat="1" applyFont="1" applyFill="1" applyBorder="1" applyProtection="1">
      <protection locked="0"/>
    </xf>
    <xf numFmtId="0" fontId="0" fillId="0" borderId="19" xfId="0" applyBorder="1"/>
    <xf numFmtId="0" fontId="20" fillId="43" borderId="20" xfId="0" applyFont="1" applyFill="1" applyBorder="1" applyProtection="1">
      <protection locked="0"/>
    </xf>
    <xf numFmtId="181" fontId="20" fillId="43" borderId="20" xfId="0" applyNumberFormat="1" applyFont="1" applyFill="1" applyBorder="1" applyProtection="1">
      <protection locked="0"/>
    </xf>
    <xf numFmtId="0" fontId="20" fillId="43" borderId="21" xfId="0" applyFont="1" applyFill="1" applyBorder="1" applyProtection="1">
      <protection locked="0"/>
    </xf>
    <xf numFmtId="0" fontId="20" fillId="43" borderId="22" xfId="0" applyFont="1" applyFill="1" applyBorder="1" applyProtection="1">
      <protection locked="0"/>
    </xf>
    <xf numFmtId="0" fontId="20" fillId="43" borderId="23" xfId="0" applyFont="1" applyFill="1" applyBorder="1" applyProtection="1">
      <protection locked="0"/>
    </xf>
    <xf numFmtId="0" fontId="28" fillId="43" borderId="19" xfId="0" applyFont="1" applyFill="1" applyBorder="1" applyProtection="1">
      <protection locked="0"/>
    </xf>
    <xf numFmtId="0" fontId="29" fillId="43" borderId="19" xfId="0" applyFont="1" applyFill="1" applyBorder="1" applyAlignment="1" applyProtection="1">
      <alignment horizontal="left" indent="1" shrinkToFit="1"/>
      <protection locked="0"/>
    </xf>
    <xf numFmtId="0" fontId="28" fillId="43" borderId="24" xfId="0" applyFont="1" applyFill="1" applyBorder="1" applyProtection="1">
      <protection locked="0"/>
    </xf>
    <xf numFmtId="0" fontId="20" fillId="43" borderId="24" xfId="0" applyFont="1" applyFill="1" applyBorder="1" applyAlignment="1" applyProtection="1">
      <alignment horizontal="center"/>
      <protection locked="0"/>
    </xf>
    <xf numFmtId="181" fontId="20" fillId="43" borderId="24" xfId="0" applyNumberFormat="1" applyFont="1" applyFill="1" applyBorder="1" applyProtection="1">
      <protection locked="0"/>
    </xf>
    <xf numFmtId="0" fontId="20" fillId="43" borderId="24" xfId="0" applyFont="1" applyFill="1" applyBorder="1" applyProtection="1">
      <protection locked="0"/>
    </xf>
    <xf numFmtId="0" fontId="0" fillId="0" borderId="24" xfId="0" applyBorder="1"/>
    <xf numFmtId="0" fontId="29" fillId="43" borderId="24" xfId="0" applyFont="1" applyFill="1" applyBorder="1" applyAlignment="1" applyProtection="1">
      <alignment horizontal="left" indent="1" shrinkToFit="1"/>
      <protection locked="0"/>
    </xf>
    <xf numFmtId="0" fontId="20" fillId="43" borderId="25" xfId="0" applyFont="1" applyFill="1" applyBorder="1" applyAlignment="1" applyProtection="1">
      <alignment horizontal="center"/>
      <protection locked="0"/>
    </xf>
    <xf numFmtId="0" fontId="20" fillId="43" borderId="26" xfId="0" applyFont="1" applyFill="1" applyBorder="1" applyAlignment="1" applyProtection="1">
      <alignment horizontal="center"/>
      <protection locked="0"/>
    </xf>
    <xf numFmtId="0" fontId="28" fillId="43" borderId="26" xfId="0" applyFont="1" applyFill="1" applyBorder="1" applyProtection="1">
      <protection locked="0"/>
    </xf>
    <xf numFmtId="0" fontId="30" fillId="43" borderId="24" xfId="0" applyFont="1" applyFill="1" applyBorder="1" applyAlignment="1" applyProtection="1">
      <alignment horizontal="left" indent="1" shrinkToFit="1"/>
      <protection locked="0"/>
    </xf>
    <xf numFmtId="0" fontId="29" fillId="43" borderId="27" xfId="0" applyFont="1" applyFill="1" applyBorder="1" applyAlignment="1" applyProtection="1">
      <alignment horizontal="left" indent="1" shrinkToFit="1"/>
      <protection locked="0"/>
    </xf>
    <xf numFmtId="0" fontId="28" fillId="43" borderId="27" xfId="0" applyFont="1" applyFill="1" applyBorder="1" applyProtection="1">
      <protection locked="0"/>
    </xf>
    <xf numFmtId="0" fontId="28" fillId="43" borderId="25" xfId="0" applyFont="1" applyFill="1" applyBorder="1" applyProtection="1">
      <protection locked="0"/>
    </xf>
    <xf numFmtId="14" fontId="20" fillId="0" borderId="9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183" fontId="26" fillId="0" borderId="0" xfId="0" applyNumberFormat="1" applyFont="1" applyAlignment="1">
      <alignment horizontal="left" vertical="center"/>
    </xf>
    <xf numFmtId="0" fontId="20" fillId="0" borderId="0" xfId="0" applyFont="1" applyAlignment="1" applyProtection="1">
      <protection locked="0"/>
    </xf>
    <xf numFmtId="0" fontId="20" fillId="0" borderId="16" xfId="0" applyFont="1" applyBorder="1" applyAlignment="1">
      <alignment horizontal="center"/>
    </xf>
    <xf numFmtId="182" fontId="1" fillId="0" borderId="17" xfId="9" applyNumberFormat="1" applyBorder="1" applyAlignment="1">
      <alignment horizontal="center"/>
    </xf>
    <xf numFmtId="182" fontId="1" fillId="0" borderId="18" xfId="9" applyNumberFormat="1" applyBorder="1" applyAlignment="1">
      <alignment horizontal="center"/>
    </xf>
    <xf numFmtId="0" fontId="20" fillId="0" borderId="0" xfId="0" applyFont="1" applyAlignment="1">
      <alignment horizontal="center"/>
    </xf>
    <xf numFmtId="182" fontId="1" fillId="0" borderId="0" xfId="9" applyNumberFormat="1" applyBorder="1" applyAlignment="1">
      <alignment horizontal="center"/>
    </xf>
    <xf numFmtId="183" fontId="23" fillId="0" borderId="0" xfId="9" applyNumberFormat="1" applyFont="1" applyBorder="1" applyAlignment="1">
      <alignment horizontal="left"/>
    </xf>
    <xf numFmtId="0" fontId="31" fillId="38" borderId="9" xfId="0" applyFont="1" applyFill="1" applyBorder="1" applyAlignment="1" applyProtection="1">
      <alignment horizontal="left" indent="1" shrinkToFit="1"/>
      <protection locked="0"/>
    </xf>
    <xf numFmtId="0" fontId="31" fillId="2" borderId="9" xfId="0" applyFont="1" applyFill="1" applyBorder="1" applyAlignment="1" applyProtection="1">
      <alignment horizontal="left" indent="1" shrinkToFit="1"/>
      <protection locked="0"/>
    </xf>
    <xf numFmtId="0" fontId="31" fillId="6" borderId="9" xfId="0" applyFont="1" applyFill="1" applyBorder="1" applyAlignment="1" applyProtection="1">
      <alignment horizontal="left" indent="1" shrinkToFit="1"/>
      <protection locked="0"/>
    </xf>
    <xf numFmtId="0" fontId="31" fillId="41" borderId="9" xfId="0" applyFont="1" applyFill="1" applyBorder="1" applyAlignment="1" applyProtection="1">
      <alignment horizontal="left" indent="1" shrinkToFit="1"/>
      <protection locked="0"/>
    </xf>
    <xf numFmtId="0" fontId="31" fillId="43" borderId="20" xfId="0" applyFont="1" applyFill="1" applyBorder="1" applyAlignment="1" applyProtection="1">
      <alignment horizontal="left" indent="1" shrinkToFit="1"/>
      <protection locked="0"/>
    </xf>
    <xf numFmtId="0" fontId="31" fillId="43" borderId="20" xfId="0" applyFont="1" applyFill="1" applyBorder="1" applyAlignment="1" applyProtection="1">
      <alignment horizontal="center"/>
      <protection locked="0"/>
    </xf>
  </cellXfs>
  <cellStyles count="54">
    <cellStyle name="20% - アクセント 1" xfId="31" builtinId="30" customBuiltin="1"/>
    <cellStyle name="20% - アクセント 2" xfId="35" builtinId="34" customBuiltin="1"/>
    <cellStyle name="20% - アクセント 3" xfId="39" builtinId="38" customBuiltin="1"/>
    <cellStyle name="20% - アクセント 4" xfId="43" builtinId="42" customBuiltin="1"/>
    <cellStyle name="20% - アクセント 5" xfId="47" builtinId="46" customBuiltin="1"/>
    <cellStyle name="20% - アクセント 6" xfId="51" builtinId="50" customBuiltin="1"/>
    <cellStyle name="40% - アクセント 1" xfId="32" builtinId="31" customBuiltin="1"/>
    <cellStyle name="40% - アクセント 2" xfId="36" builtinId="35" customBuiltin="1"/>
    <cellStyle name="40% - アクセント 3" xfId="40" builtinId="39" customBuiltin="1"/>
    <cellStyle name="40% - アクセント 4" xfId="44" builtinId="43" customBuiltin="1"/>
    <cellStyle name="40% - アクセント 5" xfId="48" builtinId="47" customBuiltin="1"/>
    <cellStyle name="40% - アクセント 6" xfId="52" builtinId="51" customBuiltin="1"/>
    <cellStyle name="60% - アクセント 1" xfId="33" builtinId="32" customBuiltin="1"/>
    <cellStyle name="60% - アクセント 2" xfId="37" builtinId="36" customBuiltin="1"/>
    <cellStyle name="60% - アクセント 3" xfId="41" builtinId="40" customBuiltin="1"/>
    <cellStyle name="60% - アクセント 4" xfId="45" builtinId="44" customBuiltin="1"/>
    <cellStyle name="60% - アクセント 5" xfId="49" builtinId="48" customBuiltin="1"/>
    <cellStyle name="60% - アクセント 6" xfId="53" builtinId="52" customBuiltin="1"/>
    <cellStyle name="z_非表示_テキスト" xfId="3" xr:uid="{26E66EE6-E33F-4D77-BAE4-0FB4F5BBF673}"/>
    <cellStyle name="アクセント 1" xfId="30" builtinId="29" customBuiltin="1"/>
    <cellStyle name="アクセント 2" xfId="34" builtinId="33" customBuiltin="1"/>
    <cellStyle name="アクセント 3" xfId="38" builtinId="37" customBuiltin="1"/>
    <cellStyle name="アクセント 4" xfId="42" builtinId="41" customBuiltin="1"/>
    <cellStyle name="アクセント 5" xfId="46" builtinId="45" customBuiltin="1"/>
    <cellStyle name="アクセント 6" xfId="50" builtinId="49" customBuiltin="1"/>
    <cellStyle name="タイトル" xfId="5" builtinId="15" customBuiltin="1"/>
    <cellStyle name="タスク" xfId="12" xr:uid="{6391D789-272B-4DD2-9BF3-2CDCF610FA41}"/>
    <cellStyle name="チェック セル" xfId="25" builtinId="23" customBuiltin="1"/>
    <cellStyle name="どちらでもない" xfId="20" builtinId="28" customBuiltin="1"/>
    <cellStyle name="パーセント" xfId="2" builtinId="5" customBuiltin="1"/>
    <cellStyle name="ハイパーリンク" xfId="1" builtinId="8" customBuiltin="1"/>
    <cellStyle name="プロジェクトの開始" xfId="9" xr:uid="{8EB8A09A-C31C-40A3-B2C1-9449520178B8}"/>
    <cellStyle name="メモ" xfId="27" builtinId="10" customBuiltin="1"/>
    <cellStyle name="リンク セル" xfId="24" builtinId="24" customBuiltin="1"/>
    <cellStyle name="悪い" xfId="19" builtinId="27" customBuiltin="1"/>
    <cellStyle name="計算" xfId="23" builtinId="22" customBuiltin="1"/>
    <cellStyle name="警告文" xfId="26" builtinId="11" customBuiltin="1"/>
    <cellStyle name="桁区切り" xfId="14" builtinId="6" customBuiltin="1"/>
    <cellStyle name="桁区切り [0.00]" xfId="4" builtinId="3" customBuiltin="1"/>
    <cellStyle name="見出し 1" xfId="6" builtinId="16" customBuiltin="1"/>
    <cellStyle name="見出し 2" xfId="7" builtinId="17" customBuiltin="1"/>
    <cellStyle name="見出し 3" xfId="8" builtinId="18" customBuiltin="1"/>
    <cellStyle name="見出し 4" xfId="17" builtinId="19" customBuiltin="1"/>
    <cellStyle name="集計" xfId="29" builtinId="25" customBuiltin="1"/>
    <cellStyle name="出力" xfId="22" builtinId="21" customBuiltin="1"/>
    <cellStyle name="説明文" xfId="28" builtinId="53" customBuiltin="1"/>
    <cellStyle name="通貨" xfId="16" builtinId="7" customBuiltin="1"/>
    <cellStyle name="通貨 [0.00]" xfId="15" builtinId="4" customBuiltin="1"/>
    <cellStyle name="日付" xfId="10" xr:uid="{229918B6-DD13-4F5A-97B9-305F7E002AA3}"/>
    <cellStyle name="入力" xfId="21" builtinId="20" customBuiltin="1"/>
    <cellStyle name="標準" xfId="0" builtinId="0" customBuiltin="1"/>
    <cellStyle name="表示済みのハイパーリンク" xfId="13" builtinId="9" customBuiltin="1"/>
    <cellStyle name="名前" xfId="11" xr:uid="{B2D3C1EE-6B41-4801-AAFC-C2274E49E503}"/>
    <cellStyle name="良い" xfId="18" builtinId="26" customBuiltin="1"/>
  </cellStyles>
  <dxfs count="2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作業リスト" pivot="0" count="9" xr9:uid="{00000000-0011-0000-FFFF-FFFF00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secondRowStripe" dxfId="16"/>
      <tableStyleElement type="firstColumnStripe" dxfId="15"/>
      <tableStyleElement type="secondColumnStripe" dxfId="1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0000"/>
      <color rgb="FF215881"/>
      <color rgb="FF42648A"/>
      <color rgb="FF969696"/>
      <color rgb="FFC0C0C0"/>
      <color rgb="FF427FC2"/>
      <color rgb="FF44678E"/>
      <color rgb="FF4A6F9C"/>
      <color rgb="FF396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9831-6452-4860-AA4E-9CFCE6764C52}">
  <sheetPr>
    <pageSetUpPr fitToPage="1"/>
  </sheetPr>
  <dimension ref="A1:CN40"/>
  <sheetViews>
    <sheetView topLeftCell="A20" workbookViewId="0">
      <pane xSplit="7" topLeftCell="H1" activePane="topRight" state="frozen"/>
      <selection pane="topRight" activeCell="B6" sqref="A1:XFD1048576"/>
    </sheetView>
  </sheetViews>
  <sheetFormatPr defaultColWidth="8.88671875" defaultRowHeight="18.75" x14ac:dyDescent="0.45"/>
  <cols>
    <col min="1" max="1" width="25.77734375" style="1" customWidth="1"/>
    <col min="2" max="2" width="11.6640625" style="1" customWidth="1"/>
    <col min="3" max="3" width="8.21875" style="2" customWidth="1"/>
    <col min="4" max="5" width="8.88671875" style="2" customWidth="1"/>
    <col min="6" max="6" width="8.88671875" style="1"/>
    <col min="7" max="7" width="8.88671875" style="1" customWidth="1"/>
    <col min="8" max="9" width="2.77734375" style="1" customWidth="1"/>
    <col min="10" max="10" width="2.6640625" style="1" customWidth="1"/>
    <col min="11" max="14" width="2.77734375" style="1" customWidth="1"/>
    <col min="15" max="15" width="2.6640625" style="1" customWidth="1"/>
    <col min="16" max="19" width="2.77734375" style="1" customWidth="1"/>
    <col min="20" max="20" width="2.6640625" style="1" customWidth="1"/>
    <col min="21" max="24" width="2.77734375" style="1" customWidth="1"/>
    <col min="25" max="25" width="2.6640625" style="1" customWidth="1"/>
    <col min="26" max="29" width="2.77734375" style="1" customWidth="1"/>
    <col min="30" max="30" width="2.6640625" style="1" customWidth="1"/>
    <col min="31" max="34" width="2.77734375" style="1" customWidth="1"/>
    <col min="35" max="35" width="2.6640625" style="1" customWidth="1"/>
    <col min="36" max="39" width="2.77734375" style="1" customWidth="1"/>
    <col min="40" max="40" width="2.6640625" style="1" customWidth="1"/>
    <col min="41" max="44" width="2.77734375" style="1" customWidth="1"/>
    <col min="45" max="45" width="2.6640625" style="1" customWidth="1"/>
    <col min="46" max="49" width="2.77734375" style="1" customWidth="1"/>
    <col min="50" max="50" width="2.6640625" style="1" customWidth="1"/>
    <col min="51" max="54" width="2.77734375" style="1" customWidth="1"/>
    <col min="55" max="55" width="2.6640625" style="1" customWidth="1"/>
    <col min="56" max="59" width="2.77734375" style="1" customWidth="1"/>
    <col min="60" max="60" width="2.6640625" style="1" customWidth="1"/>
    <col min="61" max="64" width="2.77734375" style="1" customWidth="1"/>
    <col min="65" max="65" width="2.6640625" style="1" customWidth="1"/>
    <col min="66" max="69" width="2.77734375" style="1" customWidth="1"/>
    <col min="70" max="70" width="2.6640625" style="1" customWidth="1"/>
    <col min="71" max="74" width="2.77734375" style="1" customWidth="1"/>
    <col min="75" max="75" width="2.6640625" style="1" customWidth="1"/>
    <col min="76" max="79" width="2.77734375" style="1" customWidth="1"/>
    <col min="80" max="80" width="2.6640625" style="1" customWidth="1"/>
    <col min="81" max="84" width="2.77734375" style="1" customWidth="1"/>
    <col min="85" max="85" width="2.6640625" style="1" customWidth="1"/>
    <col min="86" max="89" width="2.77734375" style="1" customWidth="1"/>
    <col min="90" max="90" width="2.6640625" style="1" customWidth="1"/>
    <col min="91" max="92" width="2.77734375" style="1" customWidth="1"/>
    <col min="93" max="16384" width="8.88671875" style="1"/>
  </cols>
  <sheetData>
    <row r="1" spans="1:92" ht="24" customHeight="1" x14ac:dyDescent="0.45">
      <c r="A1" s="67" t="s">
        <v>0</v>
      </c>
      <c r="D1" s="66" t="s">
        <v>1</v>
      </c>
      <c r="E1" s="114">
        <v>45761</v>
      </c>
      <c r="F1" s="114"/>
      <c r="G1" s="114"/>
    </row>
    <row r="2" spans="1:92" x14ac:dyDescent="0.45">
      <c r="A2" s="115" t="s">
        <v>2</v>
      </c>
      <c r="B2" s="115"/>
      <c r="C2" s="115"/>
      <c r="D2" s="115"/>
      <c r="E2" s="115"/>
      <c r="F2" s="115"/>
      <c r="G2" s="115"/>
      <c r="H2" s="83"/>
      <c r="I2" s="83"/>
      <c r="J2" s="83"/>
      <c r="K2" s="83"/>
      <c r="L2" s="83"/>
    </row>
    <row r="3" spans="1:92" x14ac:dyDescent="0.45">
      <c r="A3" s="115" t="s">
        <v>3</v>
      </c>
      <c r="B3" s="115"/>
      <c r="C3" s="115"/>
      <c r="D3" s="115"/>
      <c r="E3" s="115"/>
      <c r="F3" s="115"/>
      <c r="G3" s="115"/>
      <c r="H3" s="83"/>
      <c r="I3" s="83"/>
      <c r="J3" s="83"/>
      <c r="K3" s="83"/>
      <c r="L3" s="83"/>
    </row>
    <row r="4" spans="1:92" x14ac:dyDescent="0.45">
      <c r="A4" s="115" t="s">
        <v>4</v>
      </c>
      <c r="B4" s="115"/>
      <c r="C4" s="115"/>
      <c r="D4" s="115"/>
      <c r="E4" s="115"/>
      <c r="F4" s="115"/>
      <c r="G4" s="115"/>
      <c r="H4" s="83"/>
      <c r="I4" s="83"/>
      <c r="J4" s="83"/>
      <c r="K4" s="83"/>
      <c r="L4" s="83"/>
    </row>
    <row r="5" spans="1:92" ht="15" customHeight="1" x14ac:dyDescent="0.45">
      <c r="D5" s="119"/>
      <c r="E5" s="119"/>
      <c r="F5" s="120"/>
      <c r="G5" s="120"/>
      <c r="AU5" s="1" t="s">
        <v>5</v>
      </c>
      <c r="BO5" s="1" t="s">
        <v>6</v>
      </c>
      <c r="BX5" s="1" t="s">
        <v>7</v>
      </c>
    </row>
    <row r="6" spans="1:92" x14ac:dyDescent="0.45">
      <c r="A6" s="65"/>
      <c r="B6" s="121"/>
      <c r="C6" s="121"/>
      <c r="D6" s="116"/>
      <c r="E6" s="116"/>
      <c r="F6" s="117"/>
      <c r="G6" s="118"/>
      <c r="H6" s="110">
        <f>H7</f>
        <v>45761</v>
      </c>
      <c r="I6" s="110"/>
      <c r="J6" s="110"/>
      <c r="K6" s="110"/>
      <c r="L6" s="110"/>
      <c r="M6" s="110">
        <f>H6+7</f>
        <v>45768</v>
      </c>
      <c r="N6" s="110"/>
      <c r="O6" s="110"/>
      <c r="P6" s="110"/>
      <c r="Q6" s="110"/>
      <c r="R6" s="110">
        <f>M6+7</f>
        <v>45775</v>
      </c>
      <c r="S6" s="110"/>
      <c r="T6" s="110"/>
      <c r="U6" s="110"/>
      <c r="V6" s="110"/>
      <c r="W6" s="110">
        <f>R6+7</f>
        <v>45782</v>
      </c>
      <c r="X6" s="110"/>
      <c r="Y6" s="110"/>
      <c r="Z6" s="110"/>
      <c r="AA6" s="110"/>
      <c r="AB6" s="110">
        <f>W6+7</f>
        <v>45789</v>
      </c>
      <c r="AC6" s="110"/>
      <c r="AD6" s="110"/>
      <c r="AE6" s="110"/>
      <c r="AF6" s="110"/>
      <c r="AG6" s="110">
        <f>AB6+7</f>
        <v>45796</v>
      </c>
      <c r="AH6" s="110"/>
      <c r="AI6" s="110"/>
      <c r="AJ6" s="110"/>
      <c r="AK6" s="110"/>
      <c r="AL6" s="110">
        <f>AG6+7</f>
        <v>45803</v>
      </c>
      <c r="AM6" s="110"/>
      <c r="AN6" s="110"/>
      <c r="AO6" s="110"/>
      <c r="AP6" s="110"/>
      <c r="AQ6" s="110">
        <f>AL6+7</f>
        <v>45810</v>
      </c>
      <c r="AR6" s="110"/>
      <c r="AS6" s="110"/>
      <c r="AT6" s="110"/>
      <c r="AU6" s="110"/>
      <c r="AV6" s="110">
        <f>AQ6+7</f>
        <v>45817</v>
      </c>
      <c r="AW6" s="110"/>
      <c r="AX6" s="110"/>
      <c r="AY6" s="110"/>
      <c r="AZ6" s="110"/>
      <c r="BA6" s="110">
        <f>AV6+7</f>
        <v>45824</v>
      </c>
      <c r="BB6" s="110"/>
      <c r="BC6" s="110"/>
      <c r="BD6" s="110"/>
      <c r="BE6" s="110"/>
      <c r="BF6" s="110">
        <f>BA6+7</f>
        <v>45831</v>
      </c>
      <c r="BG6" s="110"/>
      <c r="BH6" s="110"/>
      <c r="BI6" s="110"/>
      <c r="BJ6" s="110"/>
      <c r="BK6" s="110">
        <f>BF6+7</f>
        <v>45838</v>
      </c>
      <c r="BL6" s="110"/>
      <c r="BM6" s="110"/>
      <c r="BN6" s="110"/>
      <c r="BO6" s="110"/>
      <c r="BP6" s="110">
        <f>BK6+7</f>
        <v>45845</v>
      </c>
      <c r="BQ6" s="110"/>
      <c r="BR6" s="110"/>
      <c r="BS6" s="110"/>
      <c r="BT6" s="110"/>
      <c r="BU6" s="110">
        <f>BP6+7</f>
        <v>45852</v>
      </c>
      <c r="BV6" s="110"/>
      <c r="BW6" s="110"/>
      <c r="BX6" s="110"/>
      <c r="BY6" s="110"/>
      <c r="BZ6" s="110">
        <f>BU6+7</f>
        <v>45859</v>
      </c>
      <c r="CA6" s="110"/>
      <c r="CB6" s="110"/>
      <c r="CC6" s="110"/>
      <c r="CD6" s="110"/>
      <c r="CE6" s="110">
        <f>BZ6+7</f>
        <v>45866</v>
      </c>
      <c r="CF6" s="110"/>
      <c r="CG6" s="110"/>
      <c r="CH6" s="110"/>
      <c r="CI6" s="110"/>
      <c r="CJ6" s="110">
        <f>CE6+7</f>
        <v>45873</v>
      </c>
      <c r="CK6" s="110"/>
      <c r="CL6" s="110"/>
      <c r="CM6" s="110"/>
      <c r="CN6" s="110"/>
    </row>
    <row r="7" spans="1:92" x14ac:dyDescent="0.45">
      <c r="A7" s="61"/>
      <c r="B7" s="61"/>
      <c r="C7" s="62"/>
      <c r="D7" s="111" t="s">
        <v>8</v>
      </c>
      <c r="E7" s="112"/>
      <c r="F7" s="113" t="s">
        <v>9</v>
      </c>
      <c r="G7" s="112"/>
      <c r="H7" s="63">
        <f>E1-WEEKDAY(E1,1)+2</f>
        <v>45761</v>
      </c>
      <c r="I7" s="63">
        <f>H7+1</f>
        <v>45762</v>
      </c>
      <c r="J7" s="63">
        <f t="shared" ref="J7:L7" si="0">I7+1</f>
        <v>45763</v>
      </c>
      <c r="K7" s="63">
        <f t="shared" si="0"/>
        <v>45764</v>
      </c>
      <c r="L7" s="63">
        <f t="shared" si="0"/>
        <v>45765</v>
      </c>
      <c r="M7" s="63">
        <f>M6</f>
        <v>45768</v>
      </c>
      <c r="N7" s="63">
        <f>M7+1</f>
        <v>45769</v>
      </c>
      <c r="O7" s="63">
        <f t="shared" ref="O7:Q7" si="1">N7+1</f>
        <v>45770</v>
      </c>
      <c r="P7" s="63">
        <f t="shared" si="1"/>
        <v>45771</v>
      </c>
      <c r="Q7" s="63">
        <f t="shared" si="1"/>
        <v>45772</v>
      </c>
      <c r="R7" s="63">
        <f>R6</f>
        <v>45775</v>
      </c>
      <c r="S7" s="63">
        <f>R7+1</f>
        <v>45776</v>
      </c>
      <c r="T7" s="63">
        <f t="shared" ref="T7:V7" si="2">S7+1</f>
        <v>45777</v>
      </c>
      <c r="U7" s="63">
        <f t="shared" si="2"/>
        <v>45778</v>
      </c>
      <c r="V7" s="63">
        <f t="shared" si="2"/>
        <v>45779</v>
      </c>
      <c r="W7" s="84">
        <f>W6</f>
        <v>45782</v>
      </c>
      <c r="X7" s="63">
        <f>W7+1</f>
        <v>45783</v>
      </c>
      <c r="Y7" s="63">
        <f t="shared" ref="Y7:AA7" si="3">X7+1</f>
        <v>45784</v>
      </c>
      <c r="Z7" s="63">
        <f t="shared" si="3"/>
        <v>45785</v>
      </c>
      <c r="AA7" s="84">
        <f t="shared" si="3"/>
        <v>45786</v>
      </c>
      <c r="AB7" s="84">
        <f>AB6</f>
        <v>45789</v>
      </c>
      <c r="AC7" s="63">
        <f>AB7+1</f>
        <v>45790</v>
      </c>
      <c r="AD7" s="63">
        <f t="shared" ref="AD7:AF7" si="4">AC7+1</f>
        <v>45791</v>
      </c>
      <c r="AE7" s="63">
        <f t="shared" si="4"/>
        <v>45792</v>
      </c>
      <c r="AF7" s="63">
        <f t="shared" si="4"/>
        <v>45793</v>
      </c>
      <c r="AG7" s="63">
        <f>AG6</f>
        <v>45796</v>
      </c>
      <c r="AH7" s="63">
        <f>AG7+1</f>
        <v>45797</v>
      </c>
      <c r="AI7" s="63">
        <f t="shared" ref="AI7:AK7" si="5">AH7+1</f>
        <v>45798</v>
      </c>
      <c r="AJ7" s="63">
        <f t="shared" si="5"/>
        <v>45799</v>
      </c>
      <c r="AK7" s="63">
        <f t="shared" si="5"/>
        <v>45800</v>
      </c>
      <c r="AL7" s="63">
        <f>AL6</f>
        <v>45803</v>
      </c>
      <c r="AM7" s="63">
        <f>AL7+1</f>
        <v>45804</v>
      </c>
      <c r="AN7" s="63">
        <f t="shared" ref="AN7:AP7" si="6">AM7+1</f>
        <v>45805</v>
      </c>
      <c r="AO7" s="63">
        <f t="shared" si="6"/>
        <v>45806</v>
      </c>
      <c r="AP7" s="63">
        <f t="shared" si="6"/>
        <v>45807</v>
      </c>
      <c r="AQ7" s="63">
        <f>AQ6</f>
        <v>45810</v>
      </c>
      <c r="AR7" s="63">
        <f>AQ7+1</f>
        <v>45811</v>
      </c>
      <c r="AS7" s="63">
        <f t="shared" ref="AS7:AU7" si="7">AR7+1</f>
        <v>45812</v>
      </c>
      <c r="AT7" s="63">
        <f t="shared" si="7"/>
        <v>45813</v>
      </c>
      <c r="AU7" s="63">
        <f t="shared" si="7"/>
        <v>45814</v>
      </c>
      <c r="AV7" s="63">
        <f>AV6</f>
        <v>45817</v>
      </c>
      <c r="AW7" s="63">
        <f>AV7+1</f>
        <v>45818</v>
      </c>
      <c r="AX7" s="63">
        <f t="shared" ref="AX7:AZ7" si="8">AW7+1</f>
        <v>45819</v>
      </c>
      <c r="AY7" s="63">
        <f t="shared" si="8"/>
        <v>45820</v>
      </c>
      <c r="AZ7" s="63">
        <f t="shared" si="8"/>
        <v>45821</v>
      </c>
      <c r="BA7" s="63">
        <f>BA6</f>
        <v>45824</v>
      </c>
      <c r="BB7" s="63">
        <f>BA7+1</f>
        <v>45825</v>
      </c>
      <c r="BC7" s="63">
        <f t="shared" ref="BC7:BE7" si="9">BB7+1</f>
        <v>45826</v>
      </c>
      <c r="BD7" s="63">
        <f t="shared" si="9"/>
        <v>45827</v>
      </c>
      <c r="BE7" s="63">
        <f t="shared" si="9"/>
        <v>45828</v>
      </c>
      <c r="BF7" s="63">
        <f>BF6</f>
        <v>45831</v>
      </c>
      <c r="BG7" s="63">
        <f>BF7+1</f>
        <v>45832</v>
      </c>
      <c r="BH7" s="63">
        <f t="shared" ref="BH7:BJ7" si="10">BG7+1</f>
        <v>45833</v>
      </c>
      <c r="BI7" s="63">
        <f t="shared" si="10"/>
        <v>45834</v>
      </c>
      <c r="BJ7" s="63">
        <f t="shared" si="10"/>
        <v>45835</v>
      </c>
      <c r="BK7" s="63">
        <f>BK6</f>
        <v>45838</v>
      </c>
      <c r="BL7" s="63">
        <f>BK7+1</f>
        <v>45839</v>
      </c>
      <c r="BM7" s="63">
        <f t="shared" ref="BM7:BO7" si="11">BL7+1</f>
        <v>45840</v>
      </c>
      <c r="BN7" s="63">
        <f t="shared" si="11"/>
        <v>45841</v>
      </c>
      <c r="BO7" s="63">
        <f t="shared" si="11"/>
        <v>45842</v>
      </c>
      <c r="BP7" s="63">
        <f>BP6</f>
        <v>45845</v>
      </c>
      <c r="BQ7" s="63">
        <f>BP7+1</f>
        <v>45846</v>
      </c>
      <c r="BR7" s="63">
        <f t="shared" ref="BR7:BT7" si="12">BQ7+1</f>
        <v>45847</v>
      </c>
      <c r="BS7" s="63">
        <f t="shared" si="12"/>
        <v>45848</v>
      </c>
      <c r="BT7" s="63">
        <f t="shared" si="12"/>
        <v>45849</v>
      </c>
      <c r="BU7" s="63">
        <f>BU6</f>
        <v>45852</v>
      </c>
      <c r="BV7" s="63">
        <f>BU7+1</f>
        <v>45853</v>
      </c>
      <c r="BW7" s="63">
        <f t="shared" ref="BW7:BY7" si="13">BV7+1</f>
        <v>45854</v>
      </c>
      <c r="BX7" s="63">
        <f t="shared" si="13"/>
        <v>45855</v>
      </c>
      <c r="BY7" s="63">
        <f t="shared" si="13"/>
        <v>45856</v>
      </c>
      <c r="BZ7" s="84">
        <f>BZ6</f>
        <v>45859</v>
      </c>
      <c r="CA7" s="63">
        <f>BZ7+1</f>
        <v>45860</v>
      </c>
      <c r="CB7" s="63">
        <f t="shared" ref="CB7:CD7" si="14">CA7+1</f>
        <v>45861</v>
      </c>
      <c r="CC7" s="63">
        <f t="shared" si="14"/>
        <v>45862</v>
      </c>
      <c r="CD7" s="63">
        <f t="shared" si="14"/>
        <v>45863</v>
      </c>
      <c r="CE7" s="63">
        <f>CE6</f>
        <v>45866</v>
      </c>
      <c r="CF7" s="63">
        <f>CE7+1</f>
        <v>45867</v>
      </c>
      <c r="CG7" s="63">
        <f t="shared" ref="CG7:CI7" si="15">CF7+1</f>
        <v>45868</v>
      </c>
      <c r="CH7" s="63">
        <f t="shared" si="15"/>
        <v>45869</v>
      </c>
      <c r="CI7" s="63">
        <f t="shared" si="15"/>
        <v>45870</v>
      </c>
      <c r="CJ7" s="63">
        <f>CJ6</f>
        <v>45873</v>
      </c>
      <c r="CK7" s="63">
        <f>CJ7+1</f>
        <v>45874</v>
      </c>
      <c r="CL7" s="63">
        <f t="shared" ref="CL7:CN7" si="16">CK7+1</f>
        <v>45875</v>
      </c>
      <c r="CM7" s="63">
        <f t="shared" si="16"/>
        <v>45876</v>
      </c>
      <c r="CN7" s="63">
        <f t="shared" si="16"/>
        <v>45877</v>
      </c>
    </row>
    <row r="8" spans="1:92" ht="19.5" customHeight="1" x14ac:dyDescent="0.45">
      <c r="A8" s="64" t="s">
        <v>10</v>
      </c>
      <c r="B8" s="64" t="s">
        <v>11</v>
      </c>
      <c r="C8" s="64" t="s">
        <v>12</v>
      </c>
      <c r="D8" s="64" t="s">
        <v>13</v>
      </c>
      <c r="E8" s="64" t="s">
        <v>14</v>
      </c>
      <c r="F8" s="64" t="s">
        <v>13</v>
      </c>
      <c r="G8" s="64" t="s">
        <v>14</v>
      </c>
      <c r="H8" s="64" t="s">
        <v>15</v>
      </c>
      <c r="I8" s="64" t="s">
        <v>16</v>
      </c>
      <c r="J8" s="64" t="s">
        <v>17</v>
      </c>
      <c r="K8" s="64" t="s">
        <v>18</v>
      </c>
      <c r="L8" s="64" t="s">
        <v>19</v>
      </c>
      <c r="M8" s="64" t="s">
        <v>15</v>
      </c>
      <c r="N8" s="64" t="s">
        <v>16</v>
      </c>
      <c r="O8" s="64" t="s">
        <v>17</v>
      </c>
      <c r="P8" s="64" t="s">
        <v>18</v>
      </c>
      <c r="Q8" s="64" t="s">
        <v>19</v>
      </c>
      <c r="R8" s="64" t="s">
        <v>15</v>
      </c>
      <c r="S8" s="64" t="s">
        <v>16</v>
      </c>
      <c r="T8" s="64" t="s">
        <v>17</v>
      </c>
      <c r="U8" s="64" t="s">
        <v>18</v>
      </c>
      <c r="V8" s="64" t="s">
        <v>19</v>
      </c>
      <c r="W8" s="64" t="s">
        <v>15</v>
      </c>
      <c r="X8" s="64" t="s">
        <v>16</v>
      </c>
      <c r="Y8" s="64" t="s">
        <v>17</v>
      </c>
      <c r="Z8" s="64" t="s">
        <v>18</v>
      </c>
      <c r="AA8" s="64" t="s">
        <v>19</v>
      </c>
      <c r="AB8" s="64" t="s">
        <v>15</v>
      </c>
      <c r="AC8" s="64" t="s">
        <v>16</v>
      </c>
      <c r="AD8" s="64" t="s">
        <v>17</v>
      </c>
      <c r="AE8" s="64" t="s">
        <v>18</v>
      </c>
      <c r="AF8" s="64" t="s">
        <v>19</v>
      </c>
      <c r="AG8" s="64" t="s">
        <v>15</v>
      </c>
      <c r="AH8" s="64" t="s">
        <v>16</v>
      </c>
      <c r="AI8" s="64" t="s">
        <v>17</v>
      </c>
      <c r="AJ8" s="64" t="s">
        <v>18</v>
      </c>
      <c r="AK8" s="64" t="s">
        <v>19</v>
      </c>
      <c r="AL8" s="64" t="s">
        <v>15</v>
      </c>
      <c r="AM8" s="64" t="s">
        <v>16</v>
      </c>
      <c r="AN8" s="64" t="s">
        <v>17</v>
      </c>
      <c r="AO8" s="64" t="s">
        <v>18</v>
      </c>
      <c r="AP8" s="64" t="s">
        <v>19</v>
      </c>
      <c r="AQ8" s="64" t="s">
        <v>15</v>
      </c>
      <c r="AR8" s="64" t="s">
        <v>16</v>
      </c>
      <c r="AS8" s="64" t="s">
        <v>17</v>
      </c>
      <c r="AT8" s="64" t="s">
        <v>18</v>
      </c>
      <c r="AU8" s="64" t="s">
        <v>19</v>
      </c>
      <c r="AV8" s="64" t="s">
        <v>15</v>
      </c>
      <c r="AW8" s="64" t="s">
        <v>16</v>
      </c>
      <c r="AX8" s="64" t="s">
        <v>17</v>
      </c>
      <c r="AY8" s="64" t="s">
        <v>18</v>
      </c>
      <c r="AZ8" s="64" t="s">
        <v>19</v>
      </c>
      <c r="BA8" s="64" t="s">
        <v>15</v>
      </c>
      <c r="BB8" s="64" t="s">
        <v>16</v>
      </c>
      <c r="BC8" s="64" t="s">
        <v>17</v>
      </c>
      <c r="BD8" s="64" t="s">
        <v>18</v>
      </c>
      <c r="BE8" s="64" t="s">
        <v>19</v>
      </c>
      <c r="BF8" s="64" t="s">
        <v>15</v>
      </c>
      <c r="BG8" s="64" t="s">
        <v>16</v>
      </c>
      <c r="BH8" s="64" t="s">
        <v>17</v>
      </c>
      <c r="BI8" s="64" t="s">
        <v>18</v>
      </c>
      <c r="BJ8" s="64" t="s">
        <v>19</v>
      </c>
      <c r="BK8" s="64" t="s">
        <v>15</v>
      </c>
      <c r="BL8" s="64" t="s">
        <v>16</v>
      </c>
      <c r="BM8" s="64" t="s">
        <v>17</v>
      </c>
      <c r="BN8" s="64" t="s">
        <v>18</v>
      </c>
      <c r="BO8" s="64" t="s">
        <v>19</v>
      </c>
      <c r="BP8" s="64" t="s">
        <v>15</v>
      </c>
      <c r="BQ8" s="64" t="s">
        <v>16</v>
      </c>
      <c r="BR8" s="64" t="s">
        <v>17</v>
      </c>
      <c r="BS8" s="64" t="s">
        <v>18</v>
      </c>
      <c r="BT8" s="64" t="s">
        <v>19</v>
      </c>
      <c r="BU8" s="64" t="s">
        <v>15</v>
      </c>
      <c r="BV8" s="64" t="s">
        <v>16</v>
      </c>
      <c r="BW8" s="64" t="s">
        <v>17</v>
      </c>
      <c r="BX8" s="64" t="s">
        <v>18</v>
      </c>
      <c r="BY8" s="64" t="s">
        <v>19</v>
      </c>
      <c r="BZ8" s="64" t="s">
        <v>15</v>
      </c>
      <c r="CA8" s="64" t="s">
        <v>16</v>
      </c>
      <c r="CB8" s="64" t="s">
        <v>17</v>
      </c>
      <c r="CC8" s="64" t="s">
        <v>18</v>
      </c>
      <c r="CD8" s="64" t="s">
        <v>19</v>
      </c>
      <c r="CE8" s="64" t="s">
        <v>15</v>
      </c>
      <c r="CF8" s="64" t="s">
        <v>16</v>
      </c>
      <c r="CG8" s="64" t="s">
        <v>17</v>
      </c>
      <c r="CH8" s="64" t="s">
        <v>18</v>
      </c>
      <c r="CI8" s="64" t="s">
        <v>19</v>
      </c>
      <c r="CJ8" s="64" t="s">
        <v>15</v>
      </c>
      <c r="CK8" s="64" t="s">
        <v>16</v>
      </c>
      <c r="CL8" s="64" t="s">
        <v>17</v>
      </c>
      <c r="CM8" s="64" t="s">
        <v>18</v>
      </c>
      <c r="CN8" s="64" t="s">
        <v>19</v>
      </c>
    </row>
    <row r="9" spans="1:92" ht="24" customHeight="1" x14ac:dyDescent="0.45">
      <c r="A9" s="3" t="s">
        <v>20</v>
      </c>
      <c r="B9" s="4" t="s">
        <v>21</v>
      </c>
      <c r="C9" s="5"/>
      <c r="D9" s="6"/>
      <c r="E9" s="6"/>
      <c r="F9" s="6"/>
      <c r="G9" s="6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9"/>
    </row>
    <row r="10" spans="1:92" ht="24" customHeight="1" x14ac:dyDescent="0.45">
      <c r="A10" s="57" t="s">
        <v>22</v>
      </c>
      <c r="B10" s="10" t="s">
        <v>23</v>
      </c>
      <c r="C10" s="11">
        <v>100</v>
      </c>
      <c r="D10" s="12">
        <v>45778</v>
      </c>
      <c r="E10" s="12">
        <v>45785</v>
      </c>
      <c r="F10" s="12">
        <v>45778</v>
      </c>
      <c r="G10" s="12">
        <v>45781</v>
      </c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5"/>
    </row>
    <row r="11" spans="1:92" ht="24" customHeight="1" x14ac:dyDescent="0.45">
      <c r="A11" s="57" t="s">
        <v>24</v>
      </c>
      <c r="B11" s="10" t="s">
        <v>25</v>
      </c>
      <c r="C11" s="11"/>
      <c r="D11" s="12"/>
      <c r="E11" s="12"/>
      <c r="F11" s="12"/>
      <c r="G11" s="12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5"/>
    </row>
    <row r="12" spans="1:92" ht="24" customHeight="1" x14ac:dyDescent="0.45">
      <c r="A12" s="57" t="s">
        <v>26</v>
      </c>
      <c r="B12" s="10" t="s">
        <v>23</v>
      </c>
      <c r="C12" s="11">
        <v>100</v>
      </c>
      <c r="D12" s="12">
        <v>45778</v>
      </c>
      <c r="E12" s="12">
        <v>45785</v>
      </c>
      <c r="F12" s="12">
        <v>45778</v>
      </c>
      <c r="G12" s="12">
        <v>45781</v>
      </c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5"/>
    </row>
    <row r="13" spans="1:92" ht="24" customHeight="1" x14ac:dyDescent="0.45">
      <c r="A13" s="57" t="s">
        <v>27</v>
      </c>
      <c r="B13" s="10" t="s">
        <v>28</v>
      </c>
      <c r="C13" s="11">
        <v>0</v>
      </c>
      <c r="D13" s="12">
        <v>45784</v>
      </c>
      <c r="E13" s="12">
        <v>45788</v>
      </c>
      <c r="F13" s="12">
        <v>45784</v>
      </c>
      <c r="G13" s="12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5"/>
    </row>
    <row r="14" spans="1:92" ht="24" customHeight="1" x14ac:dyDescent="0.45">
      <c r="A14" s="57" t="s">
        <v>29</v>
      </c>
      <c r="B14" s="10"/>
      <c r="C14" s="11"/>
      <c r="D14" s="12"/>
      <c r="E14" s="12"/>
      <c r="F14" s="12"/>
      <c r="G14" s="12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5"/>
    </row>
    <row r="15" spans="1:92" ht="24" customHeight="1" x14ac:dyDescent="0.45">
      <c r="A15" s="16" t="s">
        <v>30</v>
      </c>
      <c r="B15" s="17" t="s">
        <v>21</v>
      </c>
      <c r="C15" s="18"/>
      <c r="D15" s="19"/>
      <c r="E15" s="19"/>
      <c r="F15" s="19"/>
      <c r="G15" s="19"/>
      <c r="H15" s="20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2"/>
    </row>
    <row r="16" spans="1:92" ht="24" customHeight="1" x14ac:dyDescent="0.45">
      <c r="A16" s="58" t="s">
        <v>31</v>
      </c>
      <c r="B16" s="23" t="s">
        <v>28</v>
      </c>
      <c r="C16" s="24">
        <v>20</v>
      </c>
      <c r="D16" s="25">
        <v>45779</v>
      </c>
      <c r="E16" s="25">
        <v>45783</v>
      </c>
      <c r="F16" s="25">
        <v>45779</v>
      </c>
      <c r="G16" s="25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8"/>
    </row>
    <row r="17" spans="1:92" ht="24" customHeight="1" x14ac:dyDescent="0.45">
      <c r="A17" s="58" t="s">
        <v>32</v>
      </c>
      <c r="B17" s="23" t="s">
        <v>28</v>
      </c>
      <c r="C17" s="24">
        <v>0</v>
      </c>
      <c r="D17" s="25">
        <v>45792</v>
      </c>
      <c r="E17" s="25">
        <v>45797</v>
      </c>
      <c r="F17" s="25"/>
      <c r="G17" s="25"/>
      <c r="H17" s="26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8"/>
    </row>
    <row r="18" spans="1:92" ht="24" customHeight="1" x14ac:dyDescent="0.45">
      <c r="A18" s="58" t="s">
        <v>33</v>
      </c>
      <c r="B18" s="23"/>
      <c r="C18" s="24"/>
      <c r="D18" s="25"/>
      <c r="E18" s="25"/>
      <c r="F18" s="25"/>
      <c r="G18" s="25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8"/>
    </row>
    <row r="19" spans="1:92" ht="24" customHeight="1" x14ac:dyDescent="0.45">
      <c r="A19" s="58" t="s">
        <v>34</v>
      </c>
      <c r="B19" s="23"/>
      <c r="C19" s="24"/>
      <c r="D19" s="25"/>
      <c r="E19" s="25"/>
      <c r="F19" s="25"/>
      <c r="G19" s="25"/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8"/>
    </row>
    <row r="20" spans="1:92" ht="24" customHeight="1" x14ac:dyDescent="0.45">
      <c r="A20" s="58" t="s">
        <v>35</v>
      </c>
      <c r="B20" s="23"/>
      <c r="C20" s="24"/>
      <c r="D20" s="25"/>
      <c r="E20" s="25"/>
      <c r="F20" s="25"/>
      <c r="G20" s="25"/>
      <c r="H20" s="26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8"/>
    </row>
    <row r="21" spans="1:92" ht="24" customHeight="1" x14ac:dyDescent="0.45">
      <c r="A21" s="29" t="s">
        <v>36</v>
      </c>
      <c r="B21" s="30" t="s">
        <v>37</v>
      </c>
      <c r="C21" s="31"/>
      <c r="D21" s="32"/>
      <c r="E21" s="32"/>
      <c r="F21" s="32"/>
      <c r="G21" s="32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5"/>
    </row>
    <row r="22" spans="1:92" ht="24" customHeight="1" x14ac:dyDescent="0.45">
      <c r="A22" s="59" t="s">
        <v>22</v>
      </c>
      <c r="B22" s="36" t="s">
        <v>25</v>
      </c>
      <c r="C22" s="37">
        <v>0</v>
      </c>
      <c r="D22" s="38">
        <v>45784</v>
      </c>
      <c r="E22" s="38"/>
      <c r="F22" s="38">
        <v>45784</v>
      </c>
      <c r="G22" s="38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1"/>
    </row>
    <row r="23" spans="1:92" ht="24" customHeight="1" x14ac:dyDescent="0.45">
      <c r="A23" s="59" t="s">
        <v>27</v>
      </c>
      <c r="B23" s="36" t="s">
        <v>38</v>
      </c>
      <c r="C23" s="37">
        <v>0</v>
      </c>
      <c r="D23" s="38">
        <v>45789</v>
      </c>
      <c r="E23" s="38">
        <v>45795</v>
      </c>
      <c r="F23" s="38"/>
      <c r="G23" s="38"/>
      <c r="H23" s="39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1"/>
    </row>
    <row r="24" spans="1:92" ht="24" customHeight="1" x14ac:dyDescent="0.45">
      <c r="A24" s="59" t="s">
        <v>39</v>
      </c>
      <c r="B24" s="36"/>
      <c r="C24" s="37"/>
      <c r="D24" s="38"/>
      <c r="E24" s="38"/>
      <c r="F24" s="38"/>
      <c r="G24" s="38"/>
      <c r="H24" s="39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1"/>
    </row>
    <row r="25" spans="1:92" ht="24" customHeight="1" x14ac:dyDescent="0.45">
      <c r="A25" s="59" t="s">
        <v>40</v>
      </c>
      <c r="B25" s="36"/>
      <c r="C25" s="37"/>
      <c r="D25" s="38"/>
      <c r="E25" s="38"/>
      <c r="F25" s="38"/>
      <c r="G25" s="38"/>
      <c r="H25" s="39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1"/>
    </row>
    <row r="26" spans="1:92" ht="24" customHeight="1" x14ac:dyDescent="0.45">
      <c r="A26" s="59" t="s">
        <v>41</v>
      </c>
      <c r="B26" s="36"/>
      <c r="C26" s="37"/>
      <c r="D26" s="38"/>
      <c r="E26" s="38"/>
      <c r="F26" s="38"/>
      <c r="G26" s="38"/>
      <c r="H26" s="39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1"/>
    </row>
    <row r="27" spans="1:92" ht="24" customHeight="1" x14ac:dyDescent="0.45">
      <c r="A27" s="42" t="s">
        <v>42</v>
      </c>
      <c r="B27" s="43" t="s">
        <v>37</v>
      </c>
      <c r="C27" s="44"/>
      <c r="D27" s="45"/>
      <c r="E27" s="45"/>
      <c r="F27" s="45"/>
      <c r="G27" s="45"/>
      <c r="H27" s="46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8"/>
    </row>
    <row r="28" spans="1:92" ht="24" customHeight="1" x14ac:dyDescent="0.45">
      <c r="A28" s="60" t="s">
        <v>43</v>
      </c>
      <c r="B28" s="49" t="s">
        <v>38</v>
      </c>
      <c r="C28" s="50">
        <v>80</v>
      </c>
      <c r="D28" s="51">
        <v>45779</v>
      </c>
      <c r="E28" s="51">
        <v>45783</v>
      </c>
      <c r="F28" s="51">
        <v>45779</v>
      </c>
      <c r="G28" s="51"/>
      <c r="H28" s="52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4"/>
    </row>
    <row r="29" spans="1:92" ht="24" customHeight="1" x14ac:dyDescent="0.45">
      <c r="A29" s="60" t="s">
        <v>44</v>
      </c>
      <c r="B29" s="49" t="s">
        <v>38</v>
      </c>
      <c r="C29" s="50">
        <v>0</v>
      </c>
      <c r="D29" s="51">
        <v>45786</v>
      </c>
      <c r="E29" s="51">
        <v>45788</v>
      </c>
      <c r="F29" s="51"/>
      <c r="G29" s="51"/>
      <c r="H29" s="52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4"/>
    </row>
    <row r="30" spans="1:92" ht="24" customHeight="1" x14ac:dyDescent="0.45">
      <c r="A30" s="60" t="s">
        <v>45</v>
      </c>
      <c r="B30" s="49" t="s">
        <v>28</v>
      </c>
      <c r="C30" s="50">
        <v>0</v>
      </c>
      <c r="D30" s="51">
        <v>45792</v>
      </c>
      <c r="E30" s="51">
        <v>45797</v>
      </c>
      <c r="F30" s="51"/>
      <c r="G30" s="51"/>
      <c r="H30" s="52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4"/>
    </row>
    <row r="31" spans="1:92" ht="24" customHeight="1" x14ac:dyDescent="0.45">
      <c r="A31" s="60" t="s">
        <v>40</v>
      </c>
      <c r="B31" s="49"/>
      <c r="C31" s="50"/>
      <c r="D31" s="51"/>
      <c r="E31" s="51"/>
      <c r="F31" s="51"/>
      <c r="G31" s="51"/>
      <c r="H31" s="52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4"/>
    </row>
    <row r="32" spans="1:92" ht="24" customHeight="1" x14ac:dyDescent="0.45">
      <c r="A32" s="60" t="s">
        <v>41</v>
      </c>
      <c r="B32" s="49"/>
      <c r="C32" s="50"/>
      <c r="D32" s="51"/>
      <c r="E32" s="51"/>
      <c r="F32" s="51"/>
      <c r="G32" s="51"/>
      <c r="H32" s="52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4"/>
    </row>
    <row r="33" spans="1:92" ht="24" customHeight="1" x14ac:dyDescent="0.45">
      <c r="A33" s="69" t="s">
        <v>46</v>
      </c>
      <c r="B33" s="70"/>
      <c r="C33" s="71"/>
      <c r="D33" s="72"/>
      <c r="E33" s="72"/>
      <c r="F33" s="72"/>
      <c r="G33" s="72"/>
      <c r="H33" s="73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5"/>
    </row>
    <row r="34" spans="1:92" ht="24" customHeight="1" x14ac:dyDescent="0.45">
      <c r="A34" s="76" t="s">
        <v>47</v>
      </c>
      <c r="B34" s="77"/>
      <c r="C34" s="78"/>
      <c r="D34" s="79"/>
      <c r="E34" s="79"/>
      <c r="F34" s="79"/>
      <c r="G34" s="79"/>
      <c r="H34" s="80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2"/>
    </row>
    <row r="35" spans="1:92" ht="15" customHeight="1" x14ac:dyDescent="0.45"/>
    <row r="36" spans="1:92" ht="19.5" customHeight="1" x14ac:dyDescent="0.45">
      <c r="A36" s="68" t="s">
        <v>48</v>
      </c>
      <c r="B36" s="55"/>
      <c r="C36" s="56"/>
      <c r="D36" s="56"/>
      <c r="E36" s="56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</row>
    <row r="37" spans="1:92" ht="24" customHeight="1" x14ac:dyDescent="0.45"/>
    <row r="38" spans="1:92" ht="24" customHeight="1" x14ac:dyDescent="0.45"/>
    <row r="39" spans="1:92" ht="24" customHeight="1" x14ac:dyDescent="0.45"/>
    <row r="40" spans="1:92" ht="24" customHeight="1" x14ac:dyDescent="0.45"/>
  </sheetData>
  <sheetProtection password="DF87" sheet="1" insertRows="0"/>
  <mergeCells count="28">
    <mergeCell ref="E1:G1"/>
    <mergeCell ref="AG6:AK6"/>
    <mergeCell ref="AL6:AP6"/>
    <mergeCell ref="A2:G2"/>
    <mergeCell ref="A3:G3"/>
    <mergeCell ref="A4:G4"/>
    <mergeCell ref="D6:E6"/>
    <mergeCell ref="F6:G6"/>
    <mergeCell ref="H6:L6"/>
    <mergeCell ref="D5:E5"/>
    <mergeCell ref="F5:G5"/>
    <mergeCell ref="B6:C6"/>
    <mergeCell ref="BU6:BY6"/>
    <mergeCell ref="BZ6:CD6"/>
    <mergeCell ref="CE6:CI6"/>
    <mergeCell ref="CJ6:CN6"/>
    <mergeCell ref="D7:E7"/>
    <mergeCell ref="F7:G7"/>
    <mergeCell ref="AQ6:AU6"/>
    <mergeCell ref="AV6:AZ6"/>
    <mergeCell ref="BA6:BE6"/>
    <mergeCell ref="BF6:BJ6"/>
    <mergeCell ref="BK6:BO6"/>
    <mergeCell ref="BP6:BT6"/>
    <mergeCell ref="M6:Q6"/>
    <mergeCell ref="R6:V6"/>
    <mergeCell ref="W6:AA6"/>
    <mergeCell ref="AB6:AF6"/>
  </mergeCells>
  <phoneticPr fontId="19"/>
  <conditionalFormatting sqref="G10:G14 F15:G32">
    <cfRule type="expression" dxfId="13" priority="7">
      <formula>D10&lt;F10</formula>
    </cfRule>
  </conditionalFormatting>
  <conditionalFormatting sqref="F10:F14">
    <cfRule type="expression" dxfId="12" priority="6">
      <formula>D10&lt;F10</formula>
    </cfRule>
  </conditionalFormatting>
  <conditionalFormatting sqref="G9">
    <cfRule type="expression" dxfId="11" priority="3">
      <formula>E9&lt;G9</formula>
    </cfRule>
  </conditionalFormatting>
  <conditionalFormatting sqref="F9">
    <cfRule type="expression" dxfId="10" priority="2">
      <formula>D9&lt;F9</formula>
    </cfRule>
  </conditionalFormatting>
  <conditionalFormatting sqref="F33:G34">
    <cfRule type="expression" dxfId="9" priority="1">
      <formula>D33&lt;F33</formula>
    </cfRule>
  </conditionalFormatting>
  <pageMargins left="0.51181102362204722" right="0.27559055118110237" top="0.27559055118110237" bottom="0.19685039370078741" header="0.23622047244094491" footer="7.874015748031496E-2"/>
  <pageSetup paperSize="8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FAE6-9868-4881-B6EC-EAF3A31AE300}">
  <dimension ref="A1:CN40"/>
  <sheetViews>
    <sheetView workbookViewId="0">
      <selection activeCell="F21" sqref="F21"/>
    </sheetView>
  </sheetViews>
  <sheetFormatPr defaultColWidth="8.88671875" defaultRowHeight="18.75" customHeight="1" x14ac:dyDescent="0.45"/>
  <cols>
    <col min="1" max="1" width="25.77734375" style="1" customWidth="1"/>
    <col min="2" max="2" width="11.6640625" style="1" customWidth="1"/>
    <col min="3" max="3" width="8.21875" style="2" customWidth="1"/>
    <col min="4" max="5" width="8.88671875" style="2" customWidth="1"/>
    <col min="6" max="6" width="8.88671875" style="1"/>
    <col min="7" max="7" width="8.88671875" style="1" customWidth="1"/>
    <col min="8" max="9" width="2.77734375" style="1" customWidth="1"/>
    <col min="10" max="10" width="2.6640625" style="1" customWidth="1"/>
    <col min="11" max="14" width="2.77734375" style="1" customWidth="1"/>
    <col min="15" max="15" width="2.6640625" style="1" customWidth="1"/>
    <col min="16" max="19" width="2.77734375" style="1" customWidth="1"/>
    <col min="20" max="20" width="2.6640625" style="1" customWidth="1"/>
    <col min="21" max="24" width="2.77734375" style="1" customWidth="1"/>
    <col min="25" max="25" width="2.6640625" style="1" customWidth="1"/>
    <col min="26" max="29" width="2.77734375" style="1" customWidth="1"/>
    <col min="30" max="30" width="2.6640625" style="1" customWidth="1"/>
    <col min="31" max="34" width="2.77734375" style="1" customWidth="1"/>
    <col min="35" max="35" width="2.6640625" style="1" customWidth="1"/>
    <col min="36" max="39" width="2.77734375" style="1" customWidth="1"/>
    <col min="40" max="40" width="2.6640625" style="1" customWidth="1"/>
    <col min="41" max="44" width="2.77734375" style="1" customWidth="1"/>
    <col min="45" max="45" width="2.6640625" style="1" customWidth="1"/>
    <col min="46" max="49" width="2.77734375" style="1" customWidth="1"/>
    <col min="50" max="50" width="2.6640625" style="1" customWidth="1"/>
    <col min="51" max="54" width="2.77734375" style="1" customWidth="1"/>
    <col min="55" max="55" width="2.6640625" style="1" customWidth="1"/>
    <col min="56" max="59" width="2.77734375" style="1" customWidth="1"/>
    <col min="60" max="60" width="2.6640625" style="1" customWidth="1"/>
    <col min="61" max="64" width="2.77734375" style="1" customWidth="1"/>
    <col min="65" max="65" width="2.6640625" style="1" customWidth="1"/>
    <col min="66" max="69" width="2.77734375" style="1" customWidth="1"/>
    <col min="70" max="70" width="2.6640625" style="1" customWidth="1"/>
    <col min="71" max="74" width="2.77734375" style="1" customWidth="1"/>
    <col min="75" max="75" width="2.6640625" style="1" customWidth="1"/>
    <col min="76" max="79" width="2.77734375" style="1" customWidth="1"/>
    <col min="80" max="80" width="2.6640625" style="1" customWidth="1"/>
    <col min="81" max="84" width="2.77734375" style="1" customWidth="1"/>
    <col min="85" max="85" width="2.6640625" style="1" customWidth="1"/>
    <col min="86" max="89" width="2.77734375" style="1" customWidth="1"/>
    <col min="90" max="90" width="2.6640625" style="1" customWidth="1"/>
    <col min="91" max="92" width="2.77734375" style="1" customWidth="1"/>
    <col min="93" max="16384" width="8.88671875" style="1"/>
  </cols>
  <sheetData>
    <row r="1" spans="1:92" ht="27.75" customHeight="1" x14ac:dyDescent="0.45">
      <c r="A1" s="67" t="s">
        <v>0</v>
      </c>
      <c r="D1" s="66" t="s">
        <v>1</v>
      </c>
      <c r="E1" s="114">
        <v>45761</v>
      </c>
      <c r="F1" s="114"/>
      <c r="G1" s="114"/>
    </row>
    <row r="2" spans="1:92" ht="17.45" customHeight="1" x14ac:dyDescent="0.45">
      <c r="A2" s="115" t="s">
        <v>2</v>
      </c>
      <c r="B2" s="115"/>
      <c r="C2" s="115"/>
      <c r="D2" s="115"/>
      <c r="E2" s="115"/>
      <c r="F2" s="115"/>
      <c r="G2" s="115"/>
      <c r="H2" s="83"/>
      <c r="I2" s="83"/>
      <c r="J2" s="83"/>
      <c r="K2" s="83"/>
      <c r="L2" s="83"/>
    </row>
    <row r="3" spans="1:92" ht="17.45" customHeight="1" x14ac:dyDescent="0.45">
      <c r="A3" s="115" t="s">
        <v>3</v>
      </c>
      <c r="B3" s="115"/>
      <c r="C3" s="115"/>
      <c r="D3" s="115"/>
      <c r="E3" s="115"/>
      <c r="F3" s="115"/>
      <c r="G3" s="115"/>
      <c r="H3" s="83"/>
      <c r="I3" s="83"/>
      <c r="J3" s="83"/>
      <c r="K3" s="83"/>
      <c r="L3" s="83"/>
    </row>
    <row r="4" spans="1:92" ht="17.45" customHeight="1" x14ac:dyDescent="0.45">
      <c r="A4" s="115" t="s">
        <v>4</v>
      </c>
      <c r="B4" s="115"/>
      <c r="C4" s="115"/>
      <c r="D4" s="115"/>
      <c r="E4" s="115"/>
      <c r="F4" s="115"/>
      <c r="G4" s="115"/>
      <c r="H4" s="83"/>
      <c r="I4" s="83"/>
      <c r="J4" s="83"/>
      <c r="K4" s="83"/>
      <c r="L4" s="83"/>
    </row>
    <row r="5" spans="1:92" ht="18.75" customHeight="1" x14ac:dyDescent="0.45">
      <c r="D5" s="119"/>
      <c r="E5" s="119"/>
      <c r="F5" s="120"/>
      <c r="G5" s="120"/>
      <c r="AU5" s="1" t="s">
        <v>5</v>
      </c>
      <c r="BO5" s="1" t="s">
        <v>6</v>
      </c>
      <c r="BX5" s="1" t="s">
        <v>7</v>
      </c>
    </row>
    <row r="6" spans="1:92" ht="17.45" customHeight="1" x14ac:dyDescent="0.45">
      <c r="A6" s="65"/>
      <c r="B6" s="121"/>
      <c r="C6" s="121"/>
      <c r="D6" s="116"/>
      <c r="E6" s="116"/>
      <c r="F6" s="117"/>
      <c r="G6" s="118"/>
      <c r="H6" s="110">
        <f>H7</f>
        <v>45761</v>
      </c>
      <c r="I6" s="110"/>
      <c r="J6" s="110"/>
      <c r="K6" s="110"/>
      <c r="L6" s="110"/>
      <c r="M6" s="110">
        <f>H6+7</f>
        <v>45768</v>
      </c>
      <c r="N6" s="110"/>
      <c r="O6" s="110"/>
      <c r="P6" s="110"/>
      <c r="Q6" s="110"/>
      <c r="R6" s="110">
        <f>M6+7</f>
        <v>45775</v>
      </c>
      <c r="S6" s="110"/>
      <c r="T6" s="110"/>
      <c r="U6" s="110"/>
      <c r="V6" s="110"/>
      <c r="W6" s="110">
        <f>R6+7</f>
        <v>45782</v>
      </c>
      <c r="X6" s="110"/>
      <c r="Y6" s="110"/>
      <c r="Z6" s="110"/>
      <c r="AA6" s="110"/>
      <c r="AB6" s="110">
        <f>W6+7</f>
        <v>45789</v>
      </c>
      <c r="AC6" s="110"/>
      <c r="AD6" s="110"/>
      <c r="AE6" s="110"/>
      <c r="AF6" s="110"/>
      <c r="AG6" s="110">
        <f>AB6+7</f>
        <v>45796</v>
      </c>
      <c r="AH6" s="110"/>
      <c r="AI6" s="110"/>
      <c r="AJ6" s="110"/>
      <c r="AK6" s="110"/>
      <c r="AL6" s="110">
        <f>AG6+7</f>
        <v>45803</v>
      </c>
      <c r="AM6" s="110"/>
      <c r="AN6" s="110"/>
      <c r="AO6" s="110"/>
      <c r="AP6" s="110"/>
      <c r="AQ6" s="110">
        <f>AL6+7</f>
        <v>45810</v>
      </c>
      <c r="AR6" s="110"/>
      <c r="AS6" s="110"/>
      <c r="AT6" s="110"/>
      <c r="AU6" s="110"/>
      <c r="AV6" s="110">
        <f>AQ6+7</f>
        <v>45817</v>
      </c>
      <c r="AW6" s="110"/>
      <c r="AX6" s="110"/>
      <c r="AY6" s="110"/>
      <c r="AZ6" s="110"/>
      <c r="BA6" s="110">
        <f>AV6+7</f>
        <v>45824</v>
      </c>
      <c r="BB6" s="110"/>
      <c r="BC6" s="110"/>
      <c r="BD6" s="110"/>
      <c r="BE6" s="110"/>
      <c r="BF6" s="110">
        <f>BA6+7</f>
        <v>45831</v>
      </c>
      <c r="BG6" s="110"/>
      <c r="BH6" s="110"/>
      <c r="BI6" s="110"/>
      <c r="BJ6" s="110"/>
      <c r="BK6" s="110">
        <f>BF6+7</f>
        <v>45838</v>
      </c>
      <c r="BL6" s="110"/>
      <c r="BM6" s="110"/>
      <c r="BN6" s="110"/>
      <c r="BO6" s="110"/>
      <c r="BP6" s="110">
        <f>BK6+7</f>
        <v>45845</v>
      </c>
      <c r="BQ6" s="110"/>
      <c r="BR6" s="110"/>
      <c r="BS6" s="110"/>
      <c r="BT6" s="110"/>
      <c r="BU6" s="110">
        <f>BP6+7</f>
        <v>45852</v>
      </c>
      <c r="BV6" s="110"/>
      <c r="BW6" s="110"/>
      <c r="BX6" s="110"/>
      <c r="BY6" s="110"/>
      <c r="BZ6" s="110">
        <f>BU6+7</f>
        <v>45859</v>
      </c>
      <c r="CA6" s="110"/>
      <c r="CB6" s="110"/>
      <c r="CC6" s="110"/>
      <c r="CD6" s="110"/>
      <c r="CE6" s="110">
        <f>BZ6+7</f>
        <v>45866</v>
      </c>
      <c r="CF6" s="110"/>
      <c r="CG6" s="110"/>
      <c r="CH6" s="110"/>
      <c r="CI6" s="110"/>
      <c r="CJ6" s="110">
        <f>CE6+7</f>
        <v>45873</v>
      </c>
      <c r="CK6" s="110"/>
      <c r="CL6" s="110"/>
      <c r="CM6" s="110"/>
      <c r="CN6" s="110"/>
    </row>
    <row r="7" spans="1:92" ht="17.45" customHeight="1" x14ac:dyDescent="0.45">
      <c r="A7" s="61"/>
      <c r="B7" s="61"/>
      <c r="C7" s="62"/>
      <c r="D7" s="111" t="s">
        <v>8</v>
      </c>
      <c r="E7" s="112"/>
      <c r="F7" s="113" t="s">
        <v>9</v>
      </c>
      <c r="G7" s="112"/>
      <c r="H7" s="63">
        <f>E1-WEEKDAY(E1,1)+2</f>
        <v>45761</v>
      </c>
      <c r="I7" s="63">
        <f>H7+1</f>
        <v>45762</v>
      </c>
      <c r="J7" s="63">
        <f t="shared" ref="J7:L7" si="0">I7+1</f>
        <v>45763</v>
      </c>
      <c r="K7" s="63">
        <f t="shared" si="0"/>
        <v>45764</v>
      </c>
      <c r="L7" s="63">
        <f t="shared" si="0"/>
        <v>45765</v>
      </c>
      <c r="M7" s="63">
        <f>M6</f>
        <v>45768</v>
      </c>
      <c r="N7" s="63">
        <f>M7+1</f>
        <v>45769</v>
      </c>
      <c r="O7" s="63">
        <f t="shared" ref="O7:Q7" si="1">N7+1</f>
        <v>45770</v>
      </c>
      <c r="P7" s="63">
        <f t="shared" si="1"/>
        <v>45771</v>
      </c>
      <c r="Q7" s="63">
        <f t="shared" si="1"/>
        <v>45772</v>
      </c>
      <c r="R7" s="63">
        <f>R6</f>
        <v>45775</v>
      </c>
      <c r="S7" s="63">
        <f>R7+1</f>
        <v>45776</v>
      </c>
      <c r="T7" s="63">
        <f t="shared" ref="T7:V7" si="2">S7+1</f>
        <v>45777</v>
      </c>
      <c r="U7" s="63">
        <f t="shared" si="2"/>
        <v>45778</v>
      </c>
      <c r="V7" s="63">
        <f t="shared" si="2"/>
        <v>45779</v>
      </c>
      <c r="W7" s="84">
        <f>W6</f>
        <v>45782</v>
      </c>
      <c r="X7" s="63">
        <f>W7+1</f>
        <v>45783</v>
      </c>
      <c r="Y7" s="63">
        <f t="shared" ref="Y7:AA7" si="3">X7+1</f>
        <v>45784</v>
      </c>
      <c r="Z7" s="63">
        <f t="shared" si="3"/>
        <v>45785</v>
      </c>
      <c r="AA7" s="84">
        <f t="shared" si="3"/>
        <v>45786</v>
      </c>
      <c r="AB7" s="84">
        <f>AB6</f>
        <v>45789</v>
      </c>
      <c r="AC7" s="63">
        <f>AB7+1</f>
        <v>45790</v>
      </c>
      <c r="AD7" s="63">
        <f t="shared" ref="AD7:AF7" si="4">AC7+1</f>
        <v>45791</v>
      </c>
      <c r="AE7" s="63">
        <f t="shared" si="4"/>
        <v>45792</v>
      </c>
      <c r="AF7" s="63">
        <f t="shared" si="4"/>
        <v>45793</v>
      </c>
      <c r="AG7" s="63">
        <f>AG6</f>
        <v>45796</v>
      </c>
      <c r="AH7" s="63">
        <f>AG7+1</f>
        <v>45797</v>
      </c>
      <c r="AI7" s="63">
        <f t="shared" ref="AI7:AK7" si="5">AH7+1</f>
        <v>45798</v>
      </c>
      <c r="AJ7" s="63">
        <f t="shared" si="5"/>
        <v>45799</v>
      </c>
      <c r="AK7" s="63">
        <f t="shared" si="5"/>
        <v>45800</v>
      </c>
      <c r="AL7" s="63">
        <f>AL6</f>
        <v>45803</v>
      </c>
      <c r="AM7" s="63">
        <f>AL7+1</f>
        <v>45804</v>
      </c>
      <c r="AN7" s="63">
        <f t="shared" ref="AN7:AP7" si="6">AM7+1</f>
        <v>45805</v>
      </c>
      <c r="AO7" s="63">
        <f t="shared" si="6"/>
        <v>45806</v>
      </c>
      <c r="AP7" s="63">
        <f t="shared" si="6"/>
        <v>45807</v>
      </c>
      <c r="AQ7" s="63">
        <f>AQ6</f>
        <v>45810</v>
      </c>
      <c r="AR7" s="63">
        <f>AQ7+1</f>
        <v>45811</v>
      </c>
      <c r="AS7" s="63">
        <f t="shared" ref="AS7:AU7" si="7">AR7+1</f>
        <v>45812</v>
      </c>
      <c r="AT7" s="63">
        <f t="shared" si="7"/>
        <v>45813</v>
      </c>
      <c r="AU7" s="63">
        <f t="shared" si="7"/>
        <v>45814</v>
      </c>
      <c r="AV7" s="63">
        <f>AV6</f>
        <v>45817</v>
      </c>
      <c r="AW7" s="63">
        <f>AV7+1</f>
        <v>45818</v>
      </c>
      <c r="AX7" s="63">
        <f t="shared" ref="AX7:AZ7" si="8">AW7+1</f>
        <v>45819</v>
      </c>
      <c r="AY7" s="63">
        <f t="shared" si="8"/>
        <v>45820</v>
      </c>
      <c r="AZ7" s="63">
        <f t="shared" si="8"/>
        <v>45821</v>
      </c>
      <c r="BA7" s="63">
        <f>BA6</f>
        <v>45824</v>
      </c>
      <c r="BB7" s="63">
        <f>BA7+1</f>
        <v>45825</v>
      </c>
      <c r="BC7" s="63">
        <f t="shared" ref="BC7:BE7" si="9">BB7+1</f>
        <v>45826</v>
      </c>
      <c r="BD7" s="63">
        <f t="shared" si="9"/>
        <v>45827</v>
      </c>
      <c r="BE7" s="63">
        <f t="shared" si="9"/>
        <v>45828</v>
      </c>
      <c r="BF7" s="63">
        <f>BF6</f>
        <v>45831</v>
      </c>
      <c r="BG7" s="63">
        <f>BF7+1</f>
        <v>45832</v>
      </c>
      <c r="BH7" s="63">
        <f t="shared" ref="BH7:BJ7" si="10">BG7+1</f>
        <v>45833</v>
      </c>
      <c r="BI7" s="63">
        <f t="shared" si="10"/>
        <v>45834</v>
      </c>
      <c r="BJ7" s="63">
        <f t="shared" si="10"/>
        <v>45835</v>
      </c>
      <c r="BK7" s="63">
        <f>BK6</f>
        <v>45838</v>
      </c>
      <c r="BL7" s="63">
        <f>BK7+1</f>
        <v>45839</v>
      </c>
      <c r="BM7" s="63">
        <f t="shared" ref="BM7:BO7" si="11">BL7+1</f>
        <v>45840</v>
      </c>
      <c r="BN7" s="63">
        <f t="shared" si="11"/>
        <v>45841</v>
      </c>
      <c r="BO7" s="63">
        <f t="shared" si="11"/>
        <v>45842</v>
      </c>
      <c r="BP7" s="63">
        <f>BP6</f>
        <v>45845</v>
      </c>
      <c r="BQ7" s="63">
        <f>BP7+1</f>
        <v>45846</v>
      </c>
      <c r="BR7" s="63">
        <f t="shared" ref="BR7:BT7" si="12">BQ7+1</f>
        <v>45847</v>
      </c>
      <c r="BS7" s="63">
        <f t="shared" si="12"/>
        <v>45848</v>
      </c>
      <c r="BT7" s="63">
        <f t="shared" si="12"/>
        <v>45849</v>
      </c>
      <c r="BU7" s="63">
        <f>BU6</f>
        <v>45852</v>
      </c>
      <c r="BV7" s="63">
        <f>BU7+1</f>
        <v>45853</v>
      </c>
      <c r="BW7" s="63">
        <f t="shared" ref="BW7:BY7" si="13">BV7+1</f>
        <v>45854</v>
      </c>
      <c r="BX7" s="63">
        <f t="shared" si="13"/>
        <v>45855</v>
      </c>
      <c r="BY7" s="63">
        <f t="shared" si="13"/>
        <v>45856</v>
      </c>
      <c r="BZ7" s="84">
        <f>BZ6</f>
        <v>45859</v>
      </c>
      <c r="CA7" s="63">
        <f>BZ7+1</f>
        <v>45860</v>
      </c>
      <c r="CB7" s="63">
        <f t="shared" ref="CB7:CD7" si="14">CA7+1</f>
        <v>45861</v>
      </c>
      <c r="CC7" s="63">
        <f t="shared" si="14"/>
        <v>45862</v>
      </c>
      <c r="CD7" s="63">
        <f t="shared" si="14"/>
        <v>45863</v>
      </c>
      <c r="CE7" s="63">
        <f>CE6</f>
        <v>45866</v>
      </c>
      <c r="CF7" s="63">
        <f>CE7+1</f>
        <v>45867</v>
      </c>
      <c r="CG7" s="63">
        <f t="shared" ref="CG7:CI7" si="15">CF7+1</f>
        <v>45868</v>
      </c>
      <c r="CH7" s="63">
        <f t="shared" si="15"/>
        <v>45869</v>
      </c>
      <c r="CI7" s="63">
        <f t="shared" si="15"/>
        <v>45870</v>
      </c>
      <c r="CJ7" s="63">
        <f>CJ6</f>
        <v>45873</v>
      </c>
      <c r="CK7" s="63">
        <f>CJ7+1</f>
        <v>45874</v>
      </c>
      <c r="CL7" s="63">
        <f t="shared" ref="CL7:CN7" si="16">CK7+1</f>
        <v>45875</v>
      </c>
      <c r="CM7" s="63">
        <f t="shared" si="16"/>
        <v>45876</v>
      </c>
      <c r="CN7" s="63">
        <f t="shared" si="16"/>
        <v>45877</v>
      </c>
    </row>
    <row r="8" spans="1:92" ht="19.5" customHeight="1" x14ac:dyDescent="0.45">
      <c r="A8" s="64" t="s">
        <v>10</v>
      </c>
      <c r="B8" s="64" t="s">
        <v>11</v>
      </c>
      <c r="C8" s="64" t="s">
        <v>12</v>
      </c>
      <c r="D8" s="64" t="s">
        <v>13</v>
      </c>
      <c r="E8" s="64" t="s">
        <v>14</v>
      </c>
      <c r="F8" s="64" t="s">
        <v>13</v>
      </c>
      <c r="G8" s="64" t="s">
        <v>14</v>
      </c>
      <c r="H8" s="64" t="s">
        <v>15</v>
      </c>
      <c r="I8" s="64" t="s">
        <v>16</v>
      </c>
      <c r="J8" s="64" t="s">
        <v>17</v>
      </c>
      <c r="K8" s="64" t="s">
        <v>18</v>
      </c>
      <c r="L8" s="64" t="s">
        <v>19</v>
      </c>
      <c r="M8" s="64" t="s">
        <v>15</v>
      </c>
      <c r="N8" s="64" t="s">
        <v>16</v>
      </c>
      <c r="O8" s="64" t="s">
        <v>17</v>
      </c>
      <c r="P8" s="64" t="s">
        <v>18</v>
      </c>
      <c r="Q8" s="64" t="s">
        <v>19</v>
      </c>
      <c r="R8" s="64" t="s">
        <v>15</v>
      </c>
      <c r="S8" s="64" t="s">
        <v>16</v>
      </c>
      <c r="T8" s="64" t="s">
        <v>17</v>
      </c>
      <c r="U8" s="64" t="s">
        <v>18</v>
      </c>
      <c r="V8" s="64" t="s">
        <v>19</v>
      </c>
      <c r="W8" s="64" t="s">
        <v>15</v>
      </c>
      <c r="X8" s="64" t="s">
        <v>16</v>
      </c>
      <c r="Y8" s="64" t="s">
        <v>17</v>
      </c>
      <c r="Z8" s="64" t="s">
        <v>18</v>
      </c>
      <c r="AA8" s="64" t="s">
        <v>19</v>
      </c>
      <c r="AB8" s="64" t="s">
        <v>15</v>
      </c>
      <c r="AC8" s="64" t="s">
        <v>16</v>
      </c>
      <c r="AD8" s="64" t="s">
        <v>17</v>
      </c>
      <c r="AE8" s="64" t="s">
        <v>18</v>
      </c>
      <c r="AF8" s="64" t="s">
        <v>19</v>
      </c>
      <c r="AG8" s="64" t="s">
        <v>15</v>
      </c>
      <c r="AH8" s="64" t="s">
        <v>16</v>
      </c>
      <c r="AI8" s="64" t="s">
        <v>17</v>
      </c>
      <c r="AJ8" s="64" t="s">
        <v>18</v>
      </c>
      <c r="AK8" s="64" t="s">
        <v>19</v>
      </c>
      <c r="AL8" s="64" t="s">
        <v>15</v>
      </c>
      <c r="AM8" s="64" t="s">
        <v>16</v>
      </c>
      <c r="AN8" s="64" t="s">
        <v>17</v>
      </c>
      <c r="AO8" s="64" t="s">
        <v>18</v>
      </c>
      <c r="AP8" s="64" t="s">
        <v>19</v>
      </c>
      <c r="AQ8" s="64" t="s">
        <v>15</v>
      </c>
      <c r="AR8" s="64" t="s">
        <v>16</v>
      </c>
      <c r="AS8" s="64" t="s">
        <v>17</v>
      </c>
      <c r="AT8" s="64" t="s">
        <v>18</v>
      </c>
      <c r="AU8" s="64" t="s">
        <v>19</v>
      </c>
      <c r="AV8" s="64" t="s">
        <v>15</v>
      </c>
      <c r="AW8" s="64" t="s">
        <v>16</v>
      </c>
      <c r="AX8" s="64" t="s">
        <v>17</v>
      </c>
      <c r="AY8" s="64" t="s">
        <v>18</v>
      </c>
      <c r="AZ8" s="64" t="s">
        <v>19</v>
      </c>
      <c r="BA8" s="64" t="s">
        <v>15</v>
      </c>
      <c r="BB8" s="64" t="s">
        <v>16</v>
      </c>
      <c r="BC8" s="64" t="s">
        <v>17</v>
      </c>
      <c r="BD8" s="64" t="s">
        <v>18</v>
      </c>
      <c r="BE8" s="64" t="s">
        <v>19</v>
      </c>
      <c r="BF8" s="64" t="s">
        <v>15</v>
      </c>
      <c r="BG8" s="64" t="s">
        <v>16</v>
      </c>
      <c r="BH8" s="64" t="s">
        <v>17</v>
      </c>
      <c r="BI8" s="64" t="s">
        <v>18</v>
      </c>
      <c r="BJ8" s="64" t="s">
        <v>19</v>
      </c>
      <c r="BK8" s="64" t="s">
        <v>15</v>
      </c>
      <c r="BL8" s="64" t="s">
        <v>16</v>
      </c>
      <c r="BM8" s="64" t="s">
        <v>17</v>
      </c>
      <c r="BN8" s="64" t="s">
        <v>18</v>
      </c>
      <c r="BO8" s="64" t="s">
        <v>19</v>
      </c>
      <c r="BP8" s="64" t="s">
        <v>15</v>
      </c>
      <c r="BQ8" s="64" t="s">
        <v>16</v>
      </c>
      <c r="BR8" s="64" t="s">
        <v>17</v>
      </c>
      <c r="BS8" s="64" t="s">
        <v>18</v>
      </c>
      <c r="BT8" s="64" t="s">
        <v>19</v>
      </c>
      <c r="BU8" s="64" t="s">
        <v>15</v>
      </c>
      <c r="BV8" s="64" t="s">
        <v>16</v>
      </c>
      <c r="BW8" s="64" t="s">
        <v>17</v>
      </c>
      <c r="BX8" s="64" t="s">
        <v>18</v>
      </c>
      <c r="BY8" s="64" t="s">
        <v>19</v>
      </c>
      <c r="BZ8" s="64" t="s">
        <v>15</v>
      </c>
      <c r="CA8" s="64" t="s">
        <v>16</v>
      </c>
      <c r="CB8" s="64" t="s">
        <v>17</v>
      </c>
      <c r="CC8" s="64" t="s">
        <v>18</v>
      </c>
      <c r="CD8" s="64" t="s">
        <v>19</v>
      </c>
      <c r="CE8" s="64" t="s">
        <v>15</v>
      </c>
      <c r="CF8" s="64" t="s">
        <v>16</v>
      </c>
      <c r="CG8" s="64" t="s">
        <v>17</v>
      </c>
      <c r="CH8" s="64" t="s">
        <v>18</v>
      </c>
      <c r="CI8" s="64" t="s">
        <v>19</v>
      </c>
      <c r="CJ8" s="64" t="s">
        <v>15</v>
      </c>
      <c r="CK8" s="64" t="s">
        <v>16</v>
      </c>
      <c r="CL8" s="64" t="s">
        <v>17</v>
      </c>
      <c r="CM8" s="64" t="s">
        <v>18</v>
      </c>
      <c r="CN8" s="64" t="s">
        <v>19</v>
      </c>
    </row>
    <row r="9" spans="1:92" ht="24" customHeight="1" x14ac:dyDescent="0.45">
      <c r="A9" s="3" t="s">
        <v>20</v>
      </c>
      <c r="B9" s="4" t="s">
        <v>21</v>
      </c>
      <c r="C9" s="5"/>
      <c r="D9" s="6"/>
      <c r="E9" s="6"/>
      <c r="F9" s="6"/>
      <c r="G9" s="6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9"/>
    </row>
    <row r="10" spans="1:92" ht="24" customHeight="1" x14ac:dyDescent="0.45">
      <c r="A10" s="57" t="s">
        <v>22</v>
      </c>
      <c r="B10" s="10" t="s">
        <v>23</v>
      </c>
      <c r="C10" s="11">
        <v>100</v>
      </c>
      <c r="D10" s="12">
        <v>45778</v>
      </c>
      <c r="E10" s="12">
        <v>45785</v>
      </c>
      <c r="F10" s="12">
        <v>45778</v>
      </c>
      <c r="G10" s="12">
        <v>45781</v>
      </c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85"/>
      <c r="V10" s="85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5"/>
    </row>
    <row r="11" spans="1:92" ht="24" customHeight="1" x14ac:dyDescent="0.45">
      <c r="A11" s="57" t="s">
        <v>24</v>
      </c>
      <c r="B11" s="10" t="s">
        <v>38</v>
      </c>
      <c r="C11" s="11"/>
      <c r="D11" s="12"/>
      <c r="E11" s="12"/>
      <c r="F11" s="12"/>
      <c r="G11" s="12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5"/>
    </row>
    <row r="12" spans="1:92" ht="24" customHeight="1" x14ac:dyDescent="0.45">
      <c r="A12" s="57" t="s">
        <v>26</v>
      </c>
      <c r="B12" s="10" t="s">
        <v>23</v>
      </c>
      <c r="C12" s="11">
        <v>100</v>
      </c>
      <c r="D12" s="12">
        <v>45778</v>
      </c>
      <c r="E12" s="12">
        <v>45785</v>
      </c>
      <c r="F12" s="12">
        <v>45778</v>
      </c>
      <c r="G12" s="12">
        <v>45781</v>
      </c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85"/>
      <c r="V12" s="85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5"/>
    </row>
    <row r="13" spans="1:92" ht="24" customHeight="1" x14ac:dyDescent="0.45">
      <c r="A13" s="57" t="s">
        <v>27</v>
      </c>
      <c r="B13" s="10" t="s">
        <v>28</v>
      </c>
      <c r="C13" s="11">
        <v>100</v>
      </c>
      <c r="D13" s="12">
        <v>45784</v>
      </c>
      <c r="E13" s="12">
        <v>45788</v>
      </c>
      <c r="F13" s="12">
        <v>45784</v>
      </c>
      <c r="G13" s="12">
        <v>45788</v>
      </c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85"/>
      <c r="Z13" s="85"/>
      <c r="AA13" s="85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5"/>
    </row>
    <row r="14" spans="1:92" ht="24" customHeight="1" x14ac:dyDescent="0.45">
      <c r="A14" s="57" t="s">
        <v>49</v>
      </c>
      <c r="B14" s="10" t="s">
        <v>38</v>
      </c>
      <c r="C14" s="11">
        <v>100</v>
      </c>
      <c r="D14" s="12">
        <v>45813</v>
      </c>
      <c r="E14" s="12">
        <v>45813</v>
      </c>
      <c r="F14" s="12">
        <v>45813</v>
      </c>
      <c r="G14" s="12">
        <v>45813</v>
      </c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5"/>
    </row>
    <row r="15" spans="1:92" ht="24" customHeight="1" x14ac:dyDescent="0.45">
      <c r="A15" s="57" t="s">
        <v>50</v>
      </c>
      <c r="B15" s="10" t="s">
        <v>38</v>
      </c>
      <c r="C15" s="11"/>
      <c r="D15" s="12">
        <v>45828</v>
      </c>
      <c r="E15" s="12">
        <v>45830</v>
      </c>
      <c r="F15" s="12"/>
      <c r="G15" s="12"/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5"/>
    </row>
    <row r="16" spans="1:92" ht="24" customHeight="1" x14ac:dyDescent="0.45">
      <c r="A16" s="16" t="s">
        <v>30</v>
      </c>
      <c r="B16" s="17" t="s">
        <v>21</v>
      </c>
      <c r="C16" s="18"/>
      <c r="D16" s="19"/>
      <c r="E16" s="19"/>
      <c r="F16" s="19"/>
      <c r="G16" s="19"/>
      <c r="H16" s="20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2"/>
    </row>
    <row r="17" spans="1:92" ht="24" customHeight="1" x14ac:dyDescent="0.45">
      <c r="A17" s="58" t="s">
        <v>51</v>
      </c>
      <c r="B17" s="23" t="s">
        <v>28</v>
      </c>
      <c r="C17" s="24">
        <v>100</v>
      </c>
      <c r="D17" s="25">
        <v>45779</v>
      </c>
      <c r="E17" s="25">
        <v>45783</v>
      </c>
      <c r="F17" s="25">
        <v>45779</v>
      </c>
      <c r="G17" s="25">
        <v>45811</v>
      </c>
      <c r="H17" s="26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8"/>
    </row>
    <row r="18" spans="1:92" ht="24" customHeight="1" x14ac:dyDescent="0.45">
      <c r="A18" s="58" t="s">
        <v>52</v>
      </c>
      <c r="B18" s="23" t="s">
        <v>28</v>
      </c>
      <c r="C18" s="24">
        <v>0</v>
      </c>
      <c r="D18" s="25"/>
      <c r="E18" s="25"/>
      <c r="F18" s="25"/>
      <c r="G18" s="25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8"/>
    </row>
    <row r="19" spans="1:92" ht="24" customHeight="1" x14ac:dyDescent="0.45">
      <c r="A19" s="58" t="s">
        <v>53</v>
      </c>
      <c r="B19" s="23" t="s">
        <v>38</v>
      </c>
      <c r="C19" s="24">
        <v>100</v>
      </c>
      <c r="D19" s="25">
        <v>45796</v>
      </c>
      <c r="E19" s="25">
        <v>45808</v>
      </c>
      <c r="F19" s="25">
        <v>45802</v>
      </c>
      <c r="G19" s="25">
        <v>45812</v>
      </c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8"/>
    </row>
    <row r="20" spans="1:92" ht="24" customHeight="1" x14ac:dyDescent="0.45">
      <c r="A20" s="58" t="s">
        <v>54</v>
      </c>
      <c r="B20" s="23" t="s">
        <v>38</v>
      </c>
      <c r="C20" s="24">
        <v>100</v>
      </c>
      <c r="D20" s="25">
        <v>45811</v>
      </c>
      <c r="E20" s="25">
        <v>45812</v>
      </c>
      <c r="F20" s="25">
        <v>45811</v>
      </c>
      <c r="G20" s="25">
        <v>45812</v>
      </c>
      <c r="H20" s="26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8"/>
    </row>
    <row r="21" spans="1:92" ht="24" customHeight="1" x14ac:dyDescent="0.45">
      <c r="A21" s="58" t="s">
        <v>55</v>
      </c>
      <c r="B21" s="23" t="s">
        <v>56</v>
      </c>
      <c r="C21" s="24">
        <v>100</v>
      </c>
      <c r="D21" s="25"/>
      <c r="E21" s="25"/>
      <c r="F21" s="25"/>
      <c r="G21" s="25">
        <v>45833</v>
      </c>
      <c r="H21" s="26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8"/>
    </row>
    <row r="22" spans="1:92" ht="24" customHeight="1" x14ac:dyDescent="0.45">
      <c r="A22" s="29" t="s">
        <v>36</v>
      </c>
      <c r="B22" s="30" t="s">
        <v>37</v>
      </c>
      <c r="C22" s="31"/>
      <c r="D22" s="32"/>
      <c r="E22" s="32"/>
      <c r="F22" s="32"/>
      <c r="G22" s="32"/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5"/>
    </row>
    <row r="23" spans="1:92" ht="24" customHeight="1" x14ac:dyDescent="0.45">
      <c r="A23" s="59" t="s">
        <v>57</v>
      </c>
      <c r="B23" s="36" t="s">
        <v>25</v>
      </c>
      <c r="C23" s="37">
        <v>100</v>
      </c>
      <c r="D23" s="38">
        <v>45784</v>
      </c>
      <c r="E23" s="38">
        <v>45810</v>
      </c>
      <c r="F23" s="38">
        <v>45784</v>
      </c>
      <c r="G23" s="38"/>
      <c r="H23" s="39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1"/>
    </row>
    <row r="24" spans="1:92" ht="24" customHeight="1" x14ac:dyDescent="0.45">
      <c r="A24" s="59" t="s">
        <v>27</v>
      </c>
      <c r="B24" s="36" t="s">
        <v>38</v>
      </c>
      <c r="C24" s="37">
        <v>100</v>
      </c>
      <c r="D24" s="38">
        <v>45789</v>
      </c>
      <c r="E24" s="38">
        <v>45795</v>
      </c>
      <c r="F24" s="38">
        <v>45793</v>
      </c>
      <c r="G24" s="38">
        <v>45793</v>
      </c>
      <c r="H24" s="39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85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1"/>
    </row>
    <row r="25" spans="1:92" ht="24" customHeight="1" x14ac:dyDescent="0.45">
      <c r="A25" s="59" t="s">
        <v>39</v>
      </c>
      <c r="B25" s="36" t="s">
        <v>58</v>
      </c>
      <c r="C25" s="37"/>
      <c r="D25" s="38">
        <v>45786</v>
      </c>
      <c r="E25" s="38">
        <v>45810</v>
      </c>
      <c r="F25" s="38">
        <v>45803</v>
      </c>
      <c r="G25" s="38"/>
      <c r="H25" s="39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1"/>
    </row>
    <row r="26" spans="1:92" ht="24" customHeight="1" x14ac:dyDescent="0.45">
      <c r="A26" s="59" t="s">
        <v>59</v>
      </c>
      <c r="B26" s="36" t="s">
        <v>56</v>
      </c>
      <c r="C26" s="37">
        <v>100</v>
      </c>
      <c r="D26" s="38">
        <v>45786</v>
      </c>
      <c r="E26" s="38">
        <v>45810</v>
      </c>
      <c r="F26" s="38"/>
      <c r="G26" s="38"/>
      <c r="H26" s="39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1"/>
    </row>
    <row r="27" spans="1:92" ht="24" customHeight="1" x14ac:dyDescent="0.45">
      <c r="A27" s="59" t="s">
        <v>60</v>
      </c>
      <c r="B27" s="36" t="s">
        <v>61</v>
      </c>
      <c r="C27" s="37">
        <v>100</v>
      </c>
      <c r="D27" s="38">
        <v>45798</v>
      </c>
      <c r="E27" s="38">
        <v>45809</v>
      </c>
      <c r="F27" s="38">
        <v>45798</v>
      </c>
      <c r="G27" s="38">
        <v>45808</v>
      </c>
      <c r="H27" s="39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1"/>
    </row>
    <row r="28" spans="1:92" ht="24" customHeight="1" x14ac:dyDescent="0.45">
      <c r="A28" s="42" t="s">
        <v>42</v>
      </c>
      <c r="B28" s="43" t="s">
        <v>37</v>
      </c>
      <c r="C28" s="44"/>
      <c r="D28" s="45"/>
      <c r="E28" s="45"/>
      <c r="F28" s="45"/>
      <c r="G28" s="45"/>
      <c r="H28" s="46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8"/>
    </row>
    <row r="29" spans="1:92" ht="24" customHeight="1" x14ac:dyDescent="0.45">
      <c r="A29" s="60" t="s">
        <v>43</v>
      </c>
      <c r="B29" s="49" t="s">
        <v>38</v>
      </c>
      <c r="C29" s="50">
        <v>80</v>
      </c>
      <c r="D29" s="51">
        <v>45779</v>
      </c>
      <c r="E29" s="51">
        <v>45783</v>
      </c>
      <c r="F29" s="51">
        <v>45779</v>
      </c>
      <c r="G29" s="51"/>
      <c r="H29" s="52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4"/>
    </row>
    <row r="30" spans="1:92" ht="24" customHeight="1" x14ac:dyDescent="0.45">
      <c r="A30" s="60" t="s">
        <v>44</v>
      </c>
      <c r="B30" s="49" t="s">
        <v>38</v>
      </c>
      <c r="C30" s="50">
        <v>0</v>
      </c>
      <c r="D30" s="51">
        <v>45793</v>
      </c>
      <c r="E30" s="51">
        <v>45800</v>
      </c>
      <c r="F30" s="51">
        <v>45793</v>
      </c>
      <c r="G30" s="51"/>
      <c r="H30" s="52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4"/>
    </row>
    <row r="31" spans="1:92" ht="24" customHeight="1" x14ac:dyDescent="0.45">
      <c r="A31" s="60" t="s">
        <v>62</v>
      </c>
      <c r="B31" s="49" t="s">
        <v>38</v>
      </c>
      <c r="C31" s="50"/>
      <c r="D31" s="51"/>
      <c r="E31" s="51"/>
      <c r="F31" s="51"/>
      <c r="G31" s="51"/>
      <c r="H31" s="52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4"/>
    </row>
    <row r="32" spans="1:92" ht="24" customHeight="1" x14ac:dyDescent="0.45">
      <c r="A32" s="60" t="s">
        <v>40</v>
      </c>
      <c r="B32" s="49"/>
      <c r="C32" s="50"/>
      <c r="D32" s="51"/>
      <c r="E32" s="51"/>
      <c r="F32" s="51"/>
      <c r="G32" s="51"/>
      <c r="H32" s="52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4"/>
    </row>
    <row r="33" spans="1:92" ht="24" customHeight="1" x14ac:dyDescent="0.45">
      <c r="A33" s="60" t="s">
        <v>41</v>
      </c>
      <c r="B33" s="49"/>
      <c r="C33" s="50"/>
      <c r="D33" s="51"/>
      <c r="E33" s="51"/>
      <c r="F33" s="51"/>
      <c r="G33" s="51"/>
      <c r="H33" s="52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4"/>
    </row>
    <row r="34" spans="1:92" ht="24" customHeight="1" x14ac:dyDescent="0.45">
      <c r="A34" s="69" t="s">
        <v>46</v>
      </c>
      <c r="B34" s="70"/>
      <c r="C34" s="71"/>
      <c r="D34" s="72"/>
      <c r="E34" s="72"/>
      <c r="F34" s="72"/>
      <c r="G34" s="72"/>
      <c r="H34" s="73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5"/>
    </row>
    <row r="35" spans="1:92" ht="25.5" customHeight="1" x14ac:dyDescent="0.45">
      <c r="A35" s="76" t="s">
        <v>47</v>
      </c>
      <c r="B35" s="77"/>
      <c r="C35" s="78"/>
      <c r="D35" s="79"/>
      <c r="E35" s="79"/>
      <c r="F35" s="79"/>
      <c r="G35" s="79"/>
      <c r="H35" s="80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2"/>
    </row>
    <row r="36" spans="1:92" ht="24" customHeight="1" x14ac:dyDescent="0.45">
      <c r="A36" s="68" t="s">
        <v>48</v>
      </c>
      <c r="B36" s="55"/>
      <c r="C36" s="56"/>
      <c r="D36" s="56"/>
      <c r="E36" s="56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</row>
    <row r="37" spans="1:92" ht="24" customHeight="1" x14ac:dyDescent="0.45"/>
    <row r="38" spans="1:92" ht="24" customHeight="1" x14ac:dyDescent="0.45"/>
    <row r="39" spans="1:92" ht="17.45" customHeight="1" x14ac:dyDescent="0.45"/>
    <row r="40" spans="1:92" ht="17.45" customHeight="1" x14ac:dyDescent="0.45"/>
  </sheetData>
  <sheetProtection insertRows="0"/>
  <mergeCells count="28">
    <mergeCell ref="CE6:CI6"/>
    <mergeCell ref="CJ6:CN6"/>
    <mergeCell ref="D7:E7"/>
    <mergeCell ref="F7:G7"/>
    <mergeCell ref="BA6:BE6"/>
    <mergeCell ref="BF6:BJ6"/>
    <mergeCell ref="BK6:BO6"/>
    <mergeCell ref="BP6:BT6"/>
    <mergeCell ref="BU6:BY6"/>
    <mergeCell ref="BZ6:CD6"/>
    <mergeCell ref="W6:AA6"/>
    <mergeCell ref="AB6:AF6"/>
    <mergeCell ref="AG6:AK6"/>
    <mergeCell ref="AL6:AP6"/>
    <mergeCell ref="AQ6:AU6"/>
    <mergeCell ref="AV6:AZ6"/>
    <mergeCell ref="R6:V6"/>
    <mergeCell ref="E1:G1"/>
    <mergeCell ref="A2:G2"/>
    <mergeCell ref="A3:G3"/>
    <mergeCell ref="A4:G4"/>
    <mergeCell ref="D5:E5"/>
    <mergeCell ref="F5:G5"/>
    <mergeCell ref="B6:C6"/>
    <mergeCell ref="D6:E6"/>
    <mergeCell ref="F6:G6"/>
    <mergeCell ref="H6:L6"/>
    <mergeCell ref="M6:Q6"/>
  </mergeCells>
  <phoneticPr fontId="19"/>
  <conditionalFormatting sqref="G10:G15 F16:G30 F32:G33">
    <cfRule type="expression" dxfId="8" priority="6">
      <formula>D10&lt;F10</formula>
    </cfRule>
  </conditionalFormatting>
  <conditionalFormatting sqref="F10:F15">
    <cfRule type="expression" dxfId="7" priority="5">
      <formula>D10&lt;F10</formula>
    </cfRule>
  </conditionalFormatting>
  <conditionalFormatting sqref="G9">
    <cfRule type="expression" dxfId="6" priority="4">
      <formula>E9&lt;G9</formula>
    </cfRule>
  </conditionalFormatting>
  <conditionalFormatting sqref="F9">
    <cfRule type="expression" dxfId="5" priority="3">
      <formula>D9&lt;F9</formula>
    </cfRule>
  </conditionalFormatting>
  <conditionalFormatting sqref="F34:G35">
    <cfRule type="expression" dxfId="4" priority="2">
      <formula>D34&lt;F34</formula>
    </cfRule>
  </conditionalFormatting>
  <conditionalFormatting sqref="F31:G31">
    <cfRule type="expression" dxfId="3" priority="1">
      <formula>D31&lt;F31</formula>
    </cfRule>
  </conditionalFormatting>
  <pageMargins left="0.51181102362204722" right="0.27559055118110237" top="0.35433070866141736" bottom="0.23622047244094491" header="0.31496062992125984" footer="0.11811023622047245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3143-E3BF-4336-936F-779FA273A598}">
  <dimension ref="A1:CN40"/>
  <sheetViews>
    <sheetView tabSelected="1" zoomScale="115" zoomScaleNormal="115" workbookViewId="0">
      <selection activeCell="BO34" sqref="BO34"/>
    </sheetView>
  </sheetViews>
  <sheetFormatPr defaultRowHeight="15.75" x14ac:dyDescent="0.25"/>
  <cols>
    <col min="1" max="1" width="17" customWidth="1"/>
    <col min="8" max="92" width="4.6640625" customWidth="1"/>
  </cols>
  <sheetData>
    <row r="1" spans="1:92" ht="22.5" x14ac:dyDescent="0.45">
      <c r="A1" s="67" t="s">
        <v>0</v>
      </c>
      <c r="B1" s="1"/>
      <c r="C1" s="2"/>
      <c r="D1" s="66" t="s">
        <v>1</v>
      </c>
      <c r="E1" s="114">
        <v>46280</v>
      </c>
      <c r="F1" s="114"/>
      <c r="G1" s="11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ht="18.75" x14ac:dyDescent="0.45">
      <c r="A2" s="115" t="s">
        <v>2</v>
      </c>
      <c r="B2" s="115"/>
      <c r="C2" s="115"/>
      <c r="D2" s="115"/>
      <c r="E2" s="115"/>
      <c r="F2" s="115"/>
      <c r="G2" s="115"/>
      <c r="H2" s="83"/>
      <c r="I2" s="83"/>
      <c r="J2" s="83"/>
      <c r="K2" s="83"/>
      <c r="L2" s="8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ht="18.75" x14ac:dyDescent="0.45">
      <c r="A3" s="115" t="s">
        <v>3</v>
      </c>
      <c r="B3" s="115"/>
      <c r="C3" s="115"/>
      <c r="D3" s="115"/>
      <c r="E3" s="115"/>
      <c r="F3" s="115"/>
      <c r="G3" s="115"/>
      <c r="H3" s="83"/>
      <c r="I3" s="83"/>
      <c r="J3" s="83"/>
      <c r="K3" s="83"/>
      <c r="L3" s="8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ht="18.75" x14ac:dyDescent="0.45">
      <c r="A4" s="115" t="s">
        <v>81</v>
      </c>
      <c r="B4" s="115"/>
      <c r="C4" s="115"/>
      <c r="D4" s="115"/>
      <c r="E4" s="115"/>
      <c r="F4" s="115"/>
      <c r="G4" s="115"/>
      <c r="H4" s="83"/>
      <c r="I4" s="83"/>
      <c r="J4" s="83"/>
      <c r="K4" s="83"/>
      <c r="L4" s="8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ht="18.75" x14ac:dyDescent="0.45">
      <c r="A5" s="1"/>
      <c r="B5" s="1"/>
      <c r="C5" s="2"/>
      <c r="D5" s="119"/>
      <c r="E5" s="119"/>
      <c r="F5" s="120"/>
      <c r="G5" s="12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 t="s">
        <v>5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 t="s">
        <v>6</v>
      </c>
      <c r="BP5" s="1"/>
      <c r="BQ5" s="1"/>
      <c r="BR5" s="1"/>
      <c r="BS5" s="1"/>
      <c r="BT5" s="1"/>
      <c r="BU5" s="1"/>
      <c r="BV5" s="1"/>
      <c r="BW5" s="1"/>
      <c r="BX5" s="1" t="s">
        <v>7</v>
      </c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ht="18.75" x14ac:dyDescent="0.45">
      <c r="A6" s="65"/>
      <c r="B6" s="121"/>
      <c r="C6" s="121"/>
      <c r="D6" s="116"/>
      <c r="E6" s="116"/>
      <c r="F6" s="117"/>
      <c r="G6" s="118"/>
      <c r="H6" s="110">
        <f>H7</f>
        <v>46279</v>
      </c>
      <c r="I6" s="110"/>
      <c r="J6" s="110"/>
      <c r="K6" s="110"/>
      <c r="L6" s="110"/>
      <c r="M6" s="110">
        <f>H6+7</f>
        <v>46286</v>
      </c>
      <c r="N6" s="110"/>
      <c r="O6" s="110"/>
      <c r="P6" s="110"/>
      <c r="Q6" s="110"/>
      <c r="R6" s="110">
        <f>M6+7</f>
        <v>46293</v>
      </c>
      <c r="S6" s="110"/>
      <c r="T6" s="110"/>
      <c r="U6" s="110"/>
      <c r="V6" s="110"/>
      <c r="W6" s="110">
        <f>R6+7</f>
        <v>46300</v>
      </c>
      <c r="X6" s="110"/>
      <c r="Y6" s="110"/>
      <c r="Z6" s="110"/>
      <c r="AA6" s="110"/>
      <c r="AB6" s="110">
        <f>W6+7</f>
        <v>46307</v>
      </c>
      <c r="AC6" s="110"/>
      <c r="AD6" s="110"/>
      <c r="AE6" s="110"/>
      <c r="AF6" s="110"/>
      <c r="AG6" s="110">
        <f>AB6+7</f>
        <v>46314</v>
      </c>
      <c r="AH6" s="110"/>
      <c r="AI6" s="110"/>
      <c r="AJ6" s="110"/>
      <c r="AK6" s="110"/>
      <c r="AL6" s="110">
        <f>AG6+7</f>
        <v>46321</v>
      </c>
      <c r="AM6" s="110"/>
      <c r="AN6" s="110"/>
      <c r="AO6" s="110"/>
      <c r="AP6" s="110"/>
      <c r="AQ6" s="110">
        <f>AL6+7</f>
        <v>46328</v>
      </c>
      <c r="AR6" s="110"/>
      <c r="AS6" s="110"/>
      <c r="AT6" s="110"/>
      <c r="AU6" s="110"/>
      <c r="AV6" s="110">
        <f>AQ6+7</f>
        <v>46335</v>
      </c>
      <c r="AW6" s="110"/>
      <c r="AX6" s="110"/>
      <c r="AY6" s="110"/>
      <c r="AZ6" s="110"/>
      <c r="BA6" s="110">
        <f>AV6+7</f>
        <v>46342</v>
      </c>
      <c r="BB6" s="110"/>
      <c r="BC6" s="110"/>
      <c r="BD6" s="110"/>
      <c r="BE6" s="110"/>
      <c r="BF6" s="110">
        <f>BA6+7</f>
        <v>46349</v>
      </c>
      <c r="BG6" s="110"/>
      <c r="BH6" s="110"/>
      <c r="BI6" s="110"/>
      <c r="BJ6" s="110"/>
      <c r="BK6" s="110">
        <f>BF6+7</f>
        <v>46356</v>
      </c>
      <c r="BL6" s="110"/>
      <c r="BM6" s="110"/>
      <c r="BN6" s="110"/>
      <c r="BO6" s="110"/>
      <c r="BP6" s="110">
        <f>BK6+7</f>
        <v>46363</v>
      </c>
      <c r="BQ6" s="110"/>
      <c r="BR6" s="110"/>
      <c r="BS6" s="110"/>
      <c r="BT6" s="110"/>
      <c r="BU6" s="110">
        <f>BP6+7</f>
        <v>46370</v>
      </c>
      <c r="BV6" s="110"/>
      <c r="BW6" s="110"/>
      <c r="BX6" s="110"/>
      <c r="BY6" s="110"/>
      <c r="BZ6" s="110">
        <f>BU6+7</f>
        <v>46377</v>
      </c>
      <c r="CA6" s="110"/>
      <c r="CB6" s="110"/>
      <c r="CC6" s="110"/>
      <c r="CD6" s="110"/>
      <c r="CE6" s="110">
        <f>BZ6+7</f>
        <v>46384</v>
      </c>
      <c r="CF6" s="110"/>
      <c r="CG6" s="110"/>
      <c r="CH6" s="110"/>
      <c r="CI6" s="110"/>
      <c r="CJ6" s="110">
        <f>CE6+7</f>
        <v>46391</v>
      </c>
      <c r="CK6" s="110"/>
      <c r="CL6" s="110"/>
      <c r="CM6" s="110"/>
      <c r="CN6" s="110"/>
    </row>
    <row r="7" spans="1:92" ht="18.75" x14ac:dyDescent="0.45">
      <c r="A7" s="61"/>
      <c r="B7" s="61"/>
      <c r="C7" s="62"/>
      <c r="D7" s="111" t="s">
        <v>8</v>
      </c>
      <c r="E7" s="112"/>
      <c r="F7" s="113" t="s">
        <v>9</v>
      </c>
      <c r="G7" s="112"/>
      <c r="H7" s="63">
        <f>E1-WEEKDAY(E1,1)+2</f>
        <v>46279</v>
      </c>
      <c r="I7" s="63">
        <f>H7+1</f>
        <v>46280</v>
      </c>
      <c r="J7" s="63">
        <f t="shared" ref="J7:L7" si="0">I7+1</f>
        <v>46281</v>
      </c>
      <c r="K7" s="63">
        <f t="shared" si="0"/>
        <v>46282</v>
      </c>
      <c r="L7" s="63">
        <f t="shared" si="0"/>
        <v>46283</v>
      </c>
      <c r="M7" s="63">
        <f>M6</f>
        <v>46286</v>
      </c>
      <c r="N7" s="63">
        <f>M7+1</f>
        <v>46287</v>
      </c>
      <c r="O7" s="63">
        <f t="shared" ref="O7:Q7" si="1">N7+1</f>
        <v>46288</v>
      </c>
      <c r="P7" s="63">
        <f t="shared" si="1"/>
        <v>46289</v>
      </c>
      <c r="Q7" s="63">
        <f t="shared" si="1"/>
        <v>46290</v>
      </c>
      <c r="R7" s="63">
        <f>R6</f>
        <v>46293</v>
      </c>
      <c r="S7" s="63">
        <f>R7+1</f>
        <v>46294</v>
      </c>
      <c r="T7" s="63">
        <f t="shared" ref="T7:V7" si="2">S7+1</f>
        <v>46295</v>
      </c>
      <c r="U7" s="63">
        <f t="shared" si="2"/>
        <v>46296</v>
      </c>
      <c r="V7" s="63">
        <f t="shared" si="2"/>
        <v>46297</v>
      </c>
      <c r="W7" s="84">
        <f>W6</f>
        <v>46300</v>
      </c>
      <c r="X7" s="63">
        <f>W7+1</f>
        <v>46301</v>
      </c>
      <c r="Y7" s="63">
        <f t="shared" ref="Y7:AA7" si="3">X7+1</f>
        <v>46302</v>
      </c>
      <c r="Z7" s="63">
        <f t="shared" si="3"/>
        <v>46303</v>
      </c>
      <c r="AA7" s="84">
        <f t="shared" si="3"/>
        <v>46304</v>
      </c>
      <c r="AB7" s="84">
        <f>AB6</f>
        <v>46307</v>
      </c>
      <c r="AC7" s="63">
        <f>AB7+1</f>
        <v>46308</v>
      </c>
      <c r="AD7" s="63">
        <f t="shared" ref="AD7:AF7" si="4">AC7+1</f>
        <v>46309</v>
      </c>
      <c r="AE7" s="63">
        <f t="shared" si="4"/>
        <v>46310</v>
      </c>
      <c r="AF7" s="63">
        <f t="shared" si="4"/>
        <v>46311</v>
      </c>
      <c r="AG7" s="63">
        <f>AG6</f>
        <v>46314</v>
      </c>
      <c r="AH7" s="63">
        <f>AG7+1</f>
        <v>46315</v>
      </c>
      <c r="AI7" s="63">
        <f t="shared" ref="AI7:AK7" si="5">AH7+1</f>
        <v>46316</v>
      </c>
      <c r="AJ7" s="63">
        <f t="shared" si="5"/>
        <v>46317</v>
      </c>
      <c r="AK7" s="63">
        <f t="shared" si="5"/>
        <v>46318</v>
      </c>
      <c r="AL7" s="63">
        <f>AL6</f>
        <v>46321</v>
      </c>
      <c r="AM7" s="63">
        <f>AL7+1</f>
        <v>46322</v>
      </c>
      <c r="AN7" s="63">
        <f t="shared" ref="AN7:AP7" si="6">AM7+1</f>
        <v>46323</v>
      </c>
      <c r="AO7" s="63">
        <f t="shared" si="6"/>
        <v>46324</v>
      </c>
      <c r="AP7" s="63">
        <f t="shared" si="6"/>
        <v>46325</v>
      </c>
      <c r="AQ7" s="63">
        <f>AQ6</f>
        <v>46328</v>
      </c>
      <c r="AR7" s="63">
        <f>AQ7+1</f>
        <v>46329</v>
      </c>
      <c r="AS7" s="63">
        <f t="shared" ref="AS7:AU7" si="7">AR7+1</f>
        <v>46330</v>
      </c>
      <c r="AT7" s="63">
        <f t="shared" si="7"/>
        <v>46331</v>
      </c>
      <c r="AU7" s="63">
        <f t="shared" si="7"/>
        <v>46332</v>
      </c>
      <c r="AV7" s="63">
        <f>AV6</f>
        <v>46335</v>
      </c>
      <c r="AW7" s="63">
        <f>AV7+1</f>
        <v>46336</v>
      </c>
      <c r="AX7" s="63">
        <f t="shared" ref="AX7:AZ7" si="8">AW7+1</f>
        <v>46337</v>
      </c>
      <c r="AY7" s="63">
        <f t="shared" si="8"/>
        <v>46338</v>
      </c>
      <c r="AZ7" s="63">
        <f t="shared" si="8"/>
        <v>46339</v>
      </c>
      <c r="BA7" s="63">
        <f>BA6</f>
        <v>46342</v>
      </c>
      <c r="BB7" s="63">
        <f>BA7+1</f>
        <v>46343</v>
      </c>
      <c r="BC7" s="63">
        <f t="shared" ref="BC7:BE7" si="9">BB7+1</f>
        <v>46344</v>
      </c>
      <c r="BD7" s="63">
        <f t="shared" si="9"/>
        <v>46345</v>
      </c>
      <c r="BE7" s="63">
        <f t="shared" si="9"/>
        <v>46346</v>
      </c>
      <c r="BF7" s="63">
        <f>BF6</f>
        <v>46349</v>
      </c>
      <c r="BG7" s="63">
        <f>BF7+1</f>
        <v>46350</v>
      </c>
      <c r="BH7" s="63">
        <f t="shared" ref="BH7:BJ7" si="10">BG7+1</f>
        <v>46351</v>
      </c>
      <c r="BI7" s="63">
        <f t="shared" si="10"/>
        <v>46352</v>
      </c>
      <c r="BJ7" s="63">
        <f t="shared" si="10"/>
        <v>46353</v>
      </c>
      <c r="BK7" s="63">
        <f>BK6</f>
        <v>46356</v>
      </c>
      <c r="BL7" s="63">
        <f>BK7+1</f>
        <v>46357</v>
      </c>
      <c r="BM7" s="63">
        <f t="shared" ref="BM7:BO7" si="11">BL7+1</f>
        <v>46358</v>
      </c>
      <c r="BN7" s="63">
        <f t="shared" si="11"/>
        <v>46359</v>
      </c>
      <c r="BO7" s="63">
        <f t="shared" si="11"/>
        <v>46360</v>
      </c>
      <c r="BP7" s="63">
        <f>BP6</f>
        <v>46363</v>
      </c>
      <c r="BQ7" s="63">
        <f>BP7+1</f>
        <v>46364</v>
      </c>
      <c r="BR7" s="63">
        <f t="shared" ref="BR7:BT7" si="12">BQ7+1</f>
        <v>46365</v>
      </c>
      <c r="BS7" s="63">
        <f t="shared" si="12"/>
        <v>46366</v>
      </c>
      <c r="BT7" s="63">
        <f t="shared" si="12"/>
        <v>46367</v>
      </c>
      <c r="BU7" s="63">
        <f>BU6</f>
        <v>46370</v>
      </c>
      <c r="BV7" s="63">
        <f>BU7+1</f>
        <v>46371</v>
      </c>
      <c r="BW7" s="63">
        <f t="shared" ref="BW7:BY7" si="13">BV7+1</f>
        <v>46372</v>
      </c>
      <c r="BX7" s="63">
        <f t="shared" si="13"/>
        <v>46373</v>
      </c>
      <c r="BY7" s="63">
        <f t="shared" si="13"/>
        <v>46374</v>
      </c>
      <c r="BZ7" s="84">
        <f>BZ6</f>
        <v>46377</v>
      </c>
      <c r="CA7" s="63">
        <f>BZ7+1</f>
        <v>46378</v>
      </c>
      <c r="CB7" s="63">
        <f t="shared" ref="CB7:CD7" si="14">CA7+1</f>
        <v>46379</v>
      </c>
      <c r="CC7" s="63">
        <f t="shared" si="14"/>
        <v>46380</v>
      </c>
      <c r="CD7" s="63">
        <f t="shared" si="14"/>
        <v>46381</v>
      </c>
      <c r="CE7" s="63">
        <f>CE6</f>
        <v>46384</v>
      </c>
      <c r="CF7" s="63">
        <f>CE7+1</f>
        <v>46385</v>
      </c>
      <c r="CG7" s="63">
        <f t="shared" ref="CG7:CI7" si="15">CF7+1</f>
        <v>46386</v>
      </c>
      <c r="CH7" s="63">
        <f t="shared" si="15"/>
        <v>46387</v>
      </c>
      <c r="CI7" s="63">
        <f t="shared" si="15"/>
        <v>46388</v>
      </c>
      <c r="CJ7" s="63">
        <f>CJ6</f>
        <v>46391</v>
      </c>
      <c r="CK7" s="63">
        <f>CJ7+1</f>
        <v>46392</v>
      </c>
      <c r="CL7" s="63">
        <f t="shared" ref="CL7:CN7" si="16">CK7+1</f>
        <v>46393</v>
      </c>
      <c r="CM7" s="63">
        <f t="shared" si="16"/>
        <v>46394</v>
      </c>
      <c r="CN7" s="63">
        <f t="shared" si="16"/>
        <v>46395</v>
      </c>
    </row>
    <row r="8" spans="1:92" ht="18" x14ac:dyDescent="0.4">
      <c r="A8" s="64" t="s">
        <v>10</v>
      </c>
      <c r="B8" s="64" t="s">
        <v>11</v>
      </c>
      <c r="C8" s="64" t="s">
        <v>12</v>
      </c>
      <c r="D8" s="64" t="s">
        <v>13</v>
      </c>
      <c r="E8" s="64" t="s">
        <v>14</v>
      </c>
      <c r="F8" s="64" t="s">
        <v>13</v>
      </c>
      <c r="G8" s="64" t="s">
        <v>14</v>
      </c>
      <c r="H8" s="64" t="s">
        <v>15</v>
      </c>
      <c r="I8" s="64" t="s">
        <v>16</v>
      </c>
      <c r="J8" s="64" t="s">
        <v>17</v>
      </c>
      <c r="K8" s="64" t="s">
        <v>18</v>
      </c>
      <c r="L8" s="64" t="s">
        <v>19</v>
      </c>
      <c r="M8" s="64" t="s">
        <v>15</v>
      </c>
      <c r="N8" s="64" t="s">
        <v>16</v>
      </c>
      <c r="O8" s="64" t="s">
        <v>17</v>
      </c>
      <c r="P8" s="64" t="s">
        <v>18</v>
      </c>
      <c r="Q8" s="64" t="s">
        <v>19</v>
      </c>
      <c r="R8" s="64" t="s">
        <v>15</v>
      </c>
      <c r="S8" s="64" t="s">
        <v>16</v>
      </c>
      <c r="T8" s="64" t="s">
        <v>17</v>
      </c>
      <c r="U8" s="64" t="s">
        <v>18</v>
      </c>
      <c r="V8" s="64" t="s">
        <v>19</v>
      </c>
      <c r="W8" s="64" t="s">
        <v>15</v>
      </c>
      <c r="X8" s="64" t="s">
        <v>16</v>
      </c>
      <c r="Y8" s="64" t="s">
        <v>17</v>
      </c>
      <c r="Z8" s="64" t="s">
        <v>18</v>
      </c>
      <c r="AA8" s="64" t="s">
        <v>19</v>
      </c>
      <c r="AB8" s="64" t="s">
        <v>15</v>
      </c>
      <c r="AC8" s="64" t="s">
        <v>16</v>
      </c>
      <c r="AD8" s="64" t="s">
        <v>17</v>
      </c>
      <c r="AE8" s="64" t="s">
        <v>18</v>
      </c>
      <c r="AF8" s="64" t="s">
        <v>19</v>
      </c>
      <c r="AG8" s="64" t="s">
        <v>15</v>
      </c>
      <c r="AH8" s="64" t="s">
        <v>16</v>
      </c>
      <c r="AI8" s="64" t="s">
        <v>17</v>
      </c>
      <c r="AJ8" s="64" t="s">
        <v>18</v>
      </c>
      <c r="AK8" s="64" t="s">
        <v>19</v>
      </c>
      <c r="AL8" s="64" t="s">
        <v>15</v>
      </c>
      <c r="AM8" s="64" t="s">
        <v>16</v>
      </c>
      <c r="AN8" s="64" t="s">
        <v>17</v>
      </c>
      <c r="AO8" s="64" t="s">
        <v>18</v>
      </c>
      <c r="AP8" s="64" t="s">
        <v>19</v>
      </c>
      <c r="AQ8" s="64" t="s">
        <v>15</v>
      </c>
      <c r="AR8" s="64" t="s">
        <v>16</v>
      </c>
      <c r="AS8" s="64" t="s">
        <v>17</v>
      </c>
      <c r="AT8" s="64" t="s">
        <v>18</v>
      </c>
      <c r="AU8" s="64" t="s">
        <v>19</v>
      </c>
      <c r="AV8" s="64" t="s">
        <v>15</v>
      </c>
      <c r="AW8" s="64" t="s">
        <v>16</v>
      </c>
      <c r="AX8" s="64" t="s">
        <v>17</v>
      </c>
      <c r="AY8" s="64" t="s">
        <v>18</v>
      </c>
      <c r="AZ8" s="64" t="s">
        <v>19</v>
      </c>
      <c r="BA8" s="64" t="s">
        <v>15</v>
      </c>
      <c r="BB8" s="64" t="s">
        <v>16</v>
      </c>
      <c r="BC8" s="64" t="s">
        <v>17</v>
      </c>
      <c r="BD8" s="64" t="s">
        <v>18</v>
      </c>
      <c r="BE8" s="64" t="s">
        <v>19</v>
      </c>
      <c r="BF8" s="64" t="s">
        <v>15</v>
      </c>
      <c r="BG8" s="64" t="s">
        <v>16</v>
      </c>
      <c r="BH8" s="64" t="s">
        <v>17</v>
      </c>
      <c r="BI8" s="64" t="s">
        <v>18</v>
      </c>
      <c r="BJ8" s="64" t="s">
        <v>19</v>
      </c>
      <c r="BK8" s="64" t="s">
        <v>15</v>
      </c>
      <c r="BL8" s="64" t="s">
        <v>16</v>
      </c>
      <c r="BM8" s="64" t="s">
        <v>17</v>
      </c>
      <c r="BN8" s="64" t="s">
        <v>18</v>
      </c>
      <c r="BO8" s="64" t="s">
        <v>19</v>
      </c>
      <c r="BP8" s="64" t="s">
        <v>15</v>
      </c>
      <c r="BQ8" s="64" t="s">
        <v>16</v>
      </c>
      <c r="BR8" s="64" t="s">
        <v>17</v>
      </c>
      <c r="BS8" s="64" t="s">
        <v>18</v>
      </c>
      <c r="BT8" s="64" t="s">
        <v>19</v>
      </c>
      <c r="BU8" s="64" t="s">
        <v>15</v>
      </c>
      <c r="BV8" s="64" t="s">
        <v>16</v>
      </c>
      <c r="BW8" s="64" t="s">
        <v>17</v>
      </c>
      <c r="BX8" s="64" t="s">
        <v>18</v>
      </c>
      <c r="BY8" s="64" t="s">
        <v>19</v>
      </c>
      <c r="BZ8" s="64" t="s">
        <v>15</v>
      </c>
      <c r="CA8" s="64" t="s">
        <v>16</v>
      </c>
      <c r="CB8" s="64" t="s">
        <v>17</v>
      </c>
      <c r="CC8" s="64" t="s">
        <v>18</v>
      </c>
      <c r="CD8" s="64" t="s">
        <v>19</v>
      </c>
      <c r="CE8" s="64" t="s">
        <v>15</v>
      </c>
      <c r="CF8" s="64" t="s">
        <v>16</v>
      </c>
      <c r="CG8" s="64" t="s">
        <v>17</v>
      </c>
      <c r="CH8" s="64" t="s">
        <v>18</v>
      </c>
      <c r="CI8" s="64" t="s">
        <v>19</v>
      </c>
      <c r="CJ8" s="64" t="s">
        <v>15</v>
      </c>
      <c r="CK8" s="64" t="s">
        <v>16</v>
      </c>
      <c r="CL8" s="64" t="s">
        <v>17</v>
      </c>
      <c r="CM8" s="64" t="s">
        <v>18</v>
      </c>
      <c r="CN8" s="64" t="s">
        <v>19</v>
      </c>
    </row>
    <row r="9" spans="1:92" ht="18.75" x14ac:dyDescent="0.45">
      <c r="A9" s="3" t="s">
        <v>82</v>
      </c>
      <c r="B9" s="4"/>
      <c r="C9" s="5"/>
      <c r="D9" s="6"/>
      <c r="E9" s="6"/>
      <c r="F9" s="6"/>
      <c r="G9" s="6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9"/>
    </row>
    <row r="10" spans="1:92" ht="18.75" x14ac:dyDescent="0.45">
      <c r="A10" s="122" t="s">
        <v>63</v>
      </c>
      <c r="B10" s="10"/>
      <c r="C10" s="11"/>
      <c r="D10" s="12"/>
      <c r="E10" s="12"/>
      <c r="F10" s="12"/>
      <c r="G10" s="12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85"/>
      <c r="V10" s="85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5"/>
    </row>
    <row r="11" spans="1:92" ht="18.75" x14ac:dyDescent="0.45">
      <c r="A11" s="122" t="s">
        <v>64</v>
      </c>
      <c r="B11" s="10"/>
      <c r="C11" s="11"/>
      <c r="D11" s="12"/>
      <c r="E11" s="12"/>
      <c r="F11" s="12"/>
      <c r="G11" s="12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5"/>
    </row>
    <row r="12" spans="1:92" ht="18.75" x14ac:dyDescent="0.45">
      <c r="A12" s="16" t="s">
        <v>83</v>
      </c>
      <c r="B12" s="17"/>
      <c r="C12" s="18"/>
      <c r="D12" s="19"/>
      <c r="E12" s="19"/>
      <c r="F12" s="19"/>
      <c r="G12" s="19"/>
      <c r="H12" s="20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2"/>
    </row>
    <row r="13" spans="1:92" ht="18.75" x14ac:dyDescent="0.45">
      <c r="A13" s="123" t="s">
        <v>57</v>
      </c>
      <c r="B13" s="23"/>
      <c r="C13" s="24"/>
      <c r="D13" s="25"/>
      <c r="E13" s="25"/>
      <c r="F13" s="25"/>
      <c r="G13" s="25"/>
      <c r="H13" s="26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8"/>
    </row>
    <row r="14" spans="1:92" ht="18.75" x14ac:dyDescent="0.45">
      <c r="A14" s="123" t="s">
        <v>65</v>
      </c>
      <c r="B14" s="23"/>
      <c r="C14" s="24"/>
      <c r="D14" s="25"/>
      <c r="E14" s="25"/>
      <c r="F14" s="25"/>
      <c r="G14" s="25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8"/>
    </row>
    <row r="15" spans="1:92" ht="18.75" x14ac:dyDescent="0.45">
      <c r="A15" s="29" t="s">
        <v>84</v>
      </c>
      <c r="B15" s="30"/>
      <c r="C15" s="31"/>
      <c r="D15" s="32"/>
      <c r="E15" s="32"/>
      <c r="F15" s="32"/>
      <c r="G15" s="32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5"/>
    </row>
    <row r="16" spans="1:92" ht="18.75" x14ac:dyDescent="0.45">
      <c r="A16" s="124" t="s">
        <v>66</v>
      </c>
      <c r="B16" s="36"/>
      <c r="C16" s="37"/>
      <c r="D16" s="38"/>
      <c r="E16" s="38"/>
      <c r="F16" s="38"/>
      <c r="G16" s="38"/>
      <c r="H16" s="39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1"/>
    </row>
    <row r="17" spans="1:92" ht="18.75" x14ac:dyDescent="0.45">
      <c r="A17" s="42" t="s">
        <v>30</v>
      </c>
      <c r="B17" s="43"/>
      <c r="C17" s="44"/>
      <c r="D17" s="45"/>
      <c r="E17" s="45"/>
      <c r="F17" s="45"/>
      <c r="G17" s="45"/>
      <c r="H17" s="46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8"/>
    </row>
    <row r="18" spans="1:92" ht="18.75" x14ac:dyDescent="0.45">
      <c r="A18" s="125" t="s">
        <v>52</v>
      </c>
      <c r="B18" s="49"/>
      <c r="C18" s="50"/>
      <c r="D18" s="51"/>
      <c r="E18" s="51"/>
      <c r="F18" s="51"/>
      <c r="G18" s="51"/>
      <c r="H18" s="52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4"/>
    </row>
    <row r="19" spans="1:92" ht="18.75" x14ac:dyDescent="0.45">
      <c r="A19" s="125" t="s">
        <v>67</v>
      </c>
      <c r="B19" s="49"/>
      <c r="C19" s="50"/>
      <c r="D19" s="51"/>
      <c r="E19" s="51"/>
      <c r="F19" s="51"/>
      <c r="G19" s="51"/>
      <c r="H19" s="52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4"/>
    </row>
    <row r="20" spans="1:92" ht="18.75" x14ac:dyDescent="0.45">
      <c r="A20" s="125" t="s">
        <v>68</v>
      </c>
      <c r="B20" s="49"/>
      <c r="C20" s="50"/>
      <c r="D20" s="51"/>
      <c r="E20" s="51"/>
      <c r="F20" s="51"/>
      <c r="G20" s="51"/>
      <c r="H20" s="52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4"/>
    </row>
    <row r="21" spans="1:92" ht="18.75" x14ac:dyDescent="0.45">
      <c r="A21" s="125" t="s">
        <v>69</v>
      </c>
      <c r="B21" s="49"/>
      <c r="C21" s="50"/>
      <c r="D21" s="51"/>
      <c r="E21" s="51"/>
      <c r="F21" s="51"/>
      <c r="G21" s="51"/>
      <c r="H21" s="52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4"/>
    </row>
    <row r="22" spans="1:92" ht="18.75" x14ac:dyDescent="0.45">
      <c r="A22" s="125" t="s">
        <v>70</v>
      </c>
      <c r="B22" s="49"/>
      <c r="C22" s="50"/>
      <c r="D22" s="51"/>
      <c r="E22" s="51"/>
      <c r="F22" s="51"/>
      <c r="G22" s="51"/>
      <c r="H22" s="52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4"/>
    </row>
    <row r="23" spans="1:92" ht="18.75" x14ac:dyDescent="0.45">
      <c r="A23" s="125" t="s">
        <v>71</v>
      </c>
      <c r="B23" s="49"/>
      <c r="C23" s="50"/>
      <c r="D23" s="51"/>
      <c r="E23" s="51"/>
      <c r="F23" s="51"/>
      <c r="G23" s="51"/>
      <c r="H23" s="52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4"/>
    </row>
    <row r="24" spans="1:92" ht="18.75" x14ac:dyDescent="0.45">
      <c r="A24" s="125" t="s">
        <v>72</v>
      </c>
      <c r="B24" s="49"/>
      <c r="C24" s="50"/>
      <c r="D24" s="51"/>
      <c r="E24" s="51"/>
      <c r="F24" s="51"/>
      <c r="G24" s="51"/>
      <c r="H24" s="52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4"/>
    </row>
    <row r="25" spans="1:92" ht="18.75" x14ac:dyDescent="0.45">
      <c r="A25" s="69" t="s">
        <v>85</v>
      </c>
      <c r="B25" s="70"/>
      <c r="C25" s="71"/>
      <c r="D25" s="72"/>
      <c r="E25" s="72"/>
      <c r="F25" s="72"/>
      <c r="G25" s="72"/>
      <c r="H25" s="73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5"/>
    </row>
    <row r="26" spans="1:92" ht="18.75" x14ac:dyDescent="0.45">
      <c r="A26" s="126" t="s">
        <v>73</v>
      </c>
      <c r="B26" s="90"/>
      <c r="C26" s="127"/>
      <c r="D26" s="91"/>
      <c r="E26" s="91"/>
      <c r="F26" s="91"/>
      <c r="G26" s="91"/>
      <c r="H26" s="92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4"/>
    </row>
    <row r="27" spans="1:92" s="89" customFormat="1" ht="18.75" x14ac:dyDescent="0.45">
      <c r="A27" s="106" t="s">
        <v>74</v>
      </c>
      <c r="B27" s="97"/>
      <c r="C27" s="87"/>
      <c r="D27" s="88"/>
      <c r="E27" s="88"/>
      <c r="F27" s="88"/>
      <c r="G27" s="88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</row>
    <row r="28" spans="1:92" s="101" customFormat="1" ht="18.75" x14ac:dyDescent="0.45">
      <c r="A28" s="102" t="s">
        <v>75</v>
      </c>
      <c r="B28" s="109"/>
      <c r="C28" s="103"/>
      <c r="D28" s="99"/>
      <c r="E28" s="99"/>
      <c r="F28" s="99"/>
      <c r="G28" s="99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</row>
    <row r="29" spans="1:92" s="89" customFormat="1" ht="18.75" x14ac:dyDescent="0.45">
      <c r="A29" s="96" t="s">
        <v>76</v>
      </c>
      <c r="B29" s="95"/>
      <c r="C29" s="87"/>
      <c r="D29" s="88"/>
      <c r="E29" s="88"/>
      <c r="F29" s="88"/>
      <c r="G29" s="88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</row>
    <row r="30" spans="1:92" s="101" customFormat="1" ht="18.75" x14ac:dyDescent="0.45">
      <c r="A30" s="96" t="s">
        <v>77</v>
      </c>
      <c r="B30" s="105"/>
      <c r="C30" s="103"/>
      <c r="D30" s="99"/>
      <c r="E30" s="99"/>
      <c r="F30" s="99"/>
      <c r="G30" s="99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</row>
    <row r="31" spans="1:92" s="101" customFormat="1" ht="18.75" x14ac:dyDescent="0.45">
      <c r="A31" s="107" t="s">
        <v>78</v>
      </c>
      <c r="B31" s="108"/>
      <c r="C31" s="98"/>
      <c r="D31" s="99"/>
      <c r="E31" s="99"/>
      <c r="F31" s="99"/>
      <c r="G31" s="99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</row>
    <row r="32" spans="1:92" s="101" customFormat="1" ht="18.75" x14ac:dyDescent="0.45">
      <c r="A32" s="96" t="s">
        <v>79</v>
      </c>
      <c r="B32" s="105"/>
      <c r="C32" s="103"/>
      <c r="D32" s="99"/>
      <c r="E32" s="99"/>
      <c r="F32" s="99"/>
      <c r="G32" s="99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</row>
    <row r="33" spans="1:92" s="89" customFormat="1" ht="18.75" x14ac:dyDescent="0.45">
      <c r="A33" s="96" t="s">
        <v>80</v>
      </c>
      <c r="B33" s="105"/>
      <c r="C33" s="104"/>
      <c r="D33" s="88"/>
      <c r="E33" s="88"/>
      <c r="F33" s="88"/>
      <c r="G33" s="88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T33" s="86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86"/>
      <c r="CI33" s="86"/>
      <c r="CJ33" s="86"/>
      <c r="CK33" s="86"/>
      <c r="CL33" s="86"/>
      <c r="CM33" s="86"/>
      <c r="CN33" s="86"/>
    </row>
    <row r="34" spans="1:92" ht="18.75" x14ac:dyDescent="0.45">
      <c r="A34" s="68"/>
      <c r="B34" s="55"/>
      <c r="C34" s="56"/>
      <c r="D34" s="56"/>
      <c r="E34" s="56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</row>
    <row r="35" spans="1:92" ht="18.75" x14ac:dyDescent="0.45">
      <c r="A35" s="1"/>
      <c r="B35" s="1"/>
      <c r="C35" s="2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</row>
    <row r="36" spans="1:92" ht="18.75" x14ac:dyDescent="0.45">
      <c r="A36" s="1"/>
      <c r="B36" s="1"/>
      <c r="C36" s="2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</row>
    <row r="37" spans="1:92" ht="18.75" x14ac:dyDescent="0.45">
      <c r="A37" s="1"/>
      <c r="B37" s="1"/>
      <c r="C37" s="2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</row>
    <row r="38" spans="1:92" ht="18.75" x14ac:dyDescent="0.45">
      <c r="A38" s="1"/>
      <c r="B38" s="1"/>
      <c r="C38" s="2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</row>
    <row r="39" spans="1:92" ht="18.75" x14ac:dyDescent="0.45">
      <c r="A39" s="1"/>
      <c r="B39" s="1"/>
      <c r="C39" s="2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</row>
    <row r="40" spans="1:92" ht="18.75" x14ac:dyDescent="0.45">
      <c r="A40" s="1"/>
      <c r="B40" s="1"/>
      <c r="C40" s="2"/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</sheetData>
  <mergeCells count="28">
    <mergeCell ref="CE6:CI6"/>
    <mergeCell ref="CJ6:CN6"/>
    <mergeCell ref="D7:E7"/>
    <mergeCell ref="F7:G7"/>
    <mergeCell ref="BA6:BE6"/>
    <mergeCell ref="BF6:BJ6"/>
    <mergeCell ref="BK6:BO6"/>
    <mergeCell ref="BP6:BT6"/>
    <mergeCell ref="BU6:BY6"/>
    <mergeCell ref="BZ6:CD6"/>
    <mergeCell ref="W6:AA6"/>
    <mergeCell ref="AB6:AF6"/>
    <mergeCell ref="AG6:AK6"/>
    <mergeCell ref="AL6:AP6"/>
    <mergeCell ref="AQ6:AU6"/>
    <mergeCell ref="AV6:AZ6"/>
    <mergeCell ref="R6:V6"/>
    <mergeCell ref="E1:G1"/>
    <mergeCell ref="A2:G2"/>
    <mergeCell ref="A3:G3"/>
    <mergeCell ref="A4:G4"/>
    <mergeCell ref="D5:E5"/>
    <mergeCell ref="F5:G5"/>
    <mergeCell ref="B6:C6"/>
    <mergeCell ref="D6:E6"/>
    <mergeCell ref="F6:G6"/>
    <mergeCell ref="H6:L6"/>
    <mergeCell ref="M6:Q6"/>
  </mergeCells>
  <phoneticPr fontId="19"/>
  <conditionalFormatting sqref="F10:G33">
    <cfRule type="expression" dxfId="2" priority="6">
      <formula>D10&lt;F10</formula>
    </cfRule>
  </conditionalFormatting>
  <conditionalFormatting sqref="G9">
    <cfRule type="expression" dxfId="1" priority="4">
      <formula>E9&lt;G9</formula>
    </cfRule>
  </conditionalFormatting>
  <conditionalFormatting sqref="F9">
    <cfRule type="expression" dxfId="0" priority="3">
      <formula>D9&lt;F9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18" ma:contentTypeDescription="新しいドキュメントを作成します。" ma:contentTypeScope="" ma:versionID="ea7c12cc56e366ff4dda5c6e96eadaab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7966d967ae6f075ad6e4da9e3740ee6a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c73c1f5-50cd-4477-a315-44bef7b8a847">
      <UserInfo>
        <DisplayName/>
        <AccountId xsi:nil="true"/>
        <AccountType/>
      </UserInfo>
    </SharedWithUsers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D2A65F-21CC-403E-82EF-9B2DA85938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0c73c1f5-50cd-4477-a315-44bef7b8a847"/>
    <ds:schemaRef ds:uri="aaa52e1c-8772-4366-aa63-bf636c80ebd4"/>
  </ds:schemaRefs>
</ds:datastoreItem>
</file>

<file path=customXml/itemProps3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制作進捗確認表</vt:lpstr>
      <vt:lpstr>進捗確認表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2021-12-14T20:18:50Z</dcterms:created>
  <dcterms:modified xsi:type="dcterms:W3CDTF">2026-09-15T02:19:55Z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Order">
    <vt:r8>69300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