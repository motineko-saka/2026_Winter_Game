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filterPrivacy="1" codeName="ThisWorkbook"/>
  <xr:revisionPtr revIDLastSave="0" documentId="13_ncr:1_{21C94238-F6C5-4AD3-B7D0-DAF41A9E9712}" xr6:coauthVersionLast="47" xr6:coauthVersionMax="47" xr10:uidLastSave="{00000000-0000-0000-0000-000000000000}"/>
  <bookViews>
    <workbookView xWindow="4530" yWindow="1230" windowWidth="21600" windowHeight="12735" firstSheet="1" activeTab="2" xr2:uid="{00000000-000D-0000-FFFF-FFFF00000000}"/>
  </bookViews>
  <sheets>
    <sheet name="制作進捗確認表" sheetId="16" state="hidden" r:id="rId1"/>
    <sheet name="進捗確認表" sheetId="18" r:id="rId2"/>
    <sheet name="Sheet2" sheetId="20" r:id="rId3"/>
  </sheets>
  <definedNames>
    <definedName name="タスク_開始" localSheetId="1">#REF!</definedName>
    <definedName name="タスク_開始" localSheetId="0">#REF!</definedName>
    <definedName name="タスク_終了" localSheetId="1">#REF!</definedName>
    <definedName name="タスク_終了" localSheetId="0">#REF!</definedName>
    <definedName name="タスク_進捗状況" localSheetId="1">#REF!</definedName>
    <definedName name="タスク_進捗状況" localSheetId="0">#REF!</definedName>
    <definedName name="プロジェクトの開始" localSheetId="1">#REF!</definedName>
    <definedName name="プロジェクトの開始">#REF!</definedName>
    <definedName name="週表示" localSheetId="1">#REF!</definedName>
    <definedName name="週表示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20" l="1"/>
  <c r="I7" i="20" s="1"/>
  <c r="J7" i="20" s="1"/>
  <c r="K7" i="20" s="1"/>
  <c r="L7" i="20" s="1"/>
  <c r="H7" i="18"/>
  <c r="I7" i="18" s="1"/>
  <c r="J7" i="18" s="1"/>
  <c r="K7" i="18" s="1"/>
  <c r="L7" i="18" s="1"/>
  <c r="H6" i="18"/>
  <c r="M6" i="18" s="1"/>
  <c r="H7" i="16"/>
  <c r="H6" i="20" l="1"/>
  <c r="M6" i="20" s="1"/>
  <c r="R6" i="20" s="1"/>
  <c r="M7" i="18"/>
  <c r="N7" i="18" s="1"/>
  <c r="O7" i="18" s="1"/>
  <c r="P7" i="18" s="1"/>
  <c r="Q7" i="18" s="1"/>
  <c r="R6" i="18"/>
  <c r="I7" i="16"/>
  <c r="J7" i="16" s="1"/>
  <c r="K7" i="16" s="1"/>
  <c r="L7" i="16" s="1"/>
  <c r="M7" i="20" l="1"/>
  <c r="N7" i="20" s="1"/>
  <c r="O7" i="20" s="1"/>
  <c r="P7" i="20" s="1"/>
  <c r="Q7" i="20" s="1"/>
  <c r="R7" i="20"/>
  <c r="S7" i="20" s="1"/>
  <c r="T7" i="20" s="1"/>
  <c r="U7" i="20" s="1"/>
  <c r="V7" i="20" s="1"/>
  <c r="W6" i="20"/>
  <c r="R7" i="18"/>
  <c r="S7" i="18" s="1"/>
  <c r="T7" i="18" s="1"/>
  <c r="U7" i="18" s="1"/>
  <c r="V7" i="18" s="1"/>
  <c r="W6" i="18"/>
  <c r="H6" i="16"/>
  <c r="M6" i="16" s="1"/>
  <c r="W7" i="20" l="1"/>
  <c r="X7" i="20" s="1"/>
  <c r="Y7" i="20" s="1"/>
  <c r="Z7" i="20" s="1"/>
  <c r="AA7" i="20" s="1"/>
  <c r="AB6" i="20"/>
  <c r="W7" i="18"/>
  <c r="X7" i="18" s="1"/>
  <c r="Y7" i="18" s="1"/>
  <c r="Z7" i="18" s="1"/>
  <c r="AA7" i="18" s="1"/>
  <c r="AB6" i="18"/>
  <c r="M7" i="16"/>
  <c r="N7" i="16" s="1"/>
  <c r="O7" i="16" s="1"/>
  <c r="P7" i="16" s="1"/>
  <c r="Q7" i="16" s="1"/>
  <c r="R6" i="16"/>
  <c r="AB7" i="20" l="1"/>
  <c r="AC7" i="20" s="1"/>
  <c r="AD7" i="20" s="1"/>
  <c r="AE7" i="20" s="1"/>
  <c r="AF7" i="20" s="1"/>
  <c r="AG6" i="20"/>
  <c r="AB7" i="18"/>
  <c r="AC7" i="18" s="1"/>
  <c r="AD7" i="18" s="1"/>
  <c r="AE7" i="18" s="1"/>
  <c r="AF7" i="18" s="1"/>
  <c r="AG6" i="18"/>
  <c r="R7" i="16"/>
  <c r="S7" i="16" s="1"/>
  <c r="T7" i="16" s="1"/>
  <c r="U7" i="16" s="1"/>
  <c r="V7" i="16" s="1"/>
  <c r="W6" i="16"/>
  <c r="AG7" i="20" l="1"/>
  <c r="AH7" i="20" s="1"/>
  <c r="AI7" i="20" s="1"/>
  <c r="AJ7" i="20" s="1"/>
  <c r="AK7" i="20" s="1"/>
  <c r="AL6" i="20"/>
  <c r="AG7" i="18"/>
  <c r="AH7" i="18" s="1"/>
  <c r="AI7" i="18" s="1"/>
  <c r="AJ7" i="18" s="1"/>
  <c r="AK7" i="18" s="1"/>
  <c r="AL6" i="18"/>
  <c r="AB6" i="16"/>
  <c r="W7" i="16"/>
  <c r="X7" i="16" s="1"/>
  <c r="Y7" i="16" s="1"/>
  <c r="Z7" i="16" s="1"/>
  <c r="AA7" i="16" s="1"/>
  <c r="AL7" i="20" l="1"/>
  <c r="AM7" i="20" s="1"/>
  <c r="AN7" i="20" s="1"/>
  <c r="AO7" i="20" s="1"/>
  <c r="AP7" i="20" s="1"/>
  <c r="AQ6" i="20"/>
  <c r="AL7" i="18"/>
  <c r="AM7" i="18" s="1"/>
  <c r="AN7" i="18" s="1"/>
  <c r="AO7" i="18" s="1"/>
  <c r="AP7" i="18" s="1"/>
  <c r="AQ6" i="18"/>
  <c r="AB7" i="16"/>
  <c r="AC7" i="16" s="1"/>
  <c r="AD7" i="16" s="1"/>
  <c r="AE7" i="16" s="1"/>
  <c r="AF7" i="16" s="1"/>
  <c r="AG6" i="16"/>
  <c r="AQ7" i="20" l="1"/>
  <c r="AR7" i="20" s="1"/>
  <c r="AS7" i="20" s="1"/>
  <c r="AT7" i="20" s="1"/>
  <c r="AU7" i="20" s="1"/>
  <c r="AV6" i="20"/>
  <c r="AQ7" i="18"/>
  <c r="AR7" i="18" s="1"/>
  <c r="AS7" i="18" s="1"/>
  <c r="AT7" i="18" s="1"/>
  <c r="AU7" i="18" s="1"/>
  <c r="AV6" i="18"/>
  <c r="AL6" i="16"/>
  <c r="AG7" i="16"/>
  <c r="AH7" i="16" s="1"/>
  <c r="AI7" i="16" s="1"/>
  <c r="AJ7" i="16" s="1"/>
  <c r="AK7" i="16" s="1"/>
  <c r="AV7" i="20" l="1"/>
  <c r="AW7" i="20" s="1"/>
  <c r="AX7" i="20" s="1"/>
  <c r="AY7" i="20" s="1"/>
  <c r="AZ7" i="20" s="1"/>
  <c r="BA6" i="20"/>
  <c r="AV7" i="18"/>
  <c r="AW7" i="18" s="1"/>
  <c r="AX7" i="18" s="1"/>
  <c r="AY7" i="18" s="1"/>
  <c r="AZ7" i="18" s="1"/>
  <c r="BA6" i="18"/>
  <c r="AL7" i="16"/>
  <c r="AM7" i="16" s="1"/>
  <c r="AN7" i="16" s="1"/>
  <c r="AO7" i="16" s="1"/>
  <c r="AP7" i="16" s="1"/>
  <c r="AQ6" i="16"/>
  <c r="BA7" i="20" l="1"/>
  <c r="BB7" i="20" s="1"/>
  <c r="BC7" i="20" s="1"/>
  <c r="BD7" i="20" s="1"/>
  <c r="BE7" i="20" s="1"/>
  <c r="BF6" i="20"/>
  <c r="BA7" i="18"/>
  <c r="BB7" i="18" s="1"/>
  <c r="BC7" i="18" s="1"/>
  <c r="BD7" i="18" s="1"/>
  <c r="BE7" i="18" s="1"/>
  <c r="BF6" i="18"/>
  <c r="AQ7" i="16"/>
  <c r="AR7" i="16" s="1"/>
  <c r="AS7" i="16" s="1"/>
  <c r="AT7" i="16" s="1"/>
  <c r="AU7" i="16" s="1"/>
  <c r="AV6" i="16"/>
  <c r="BF7" i="20" l="1"/>
  <c r="BG7" i="20" s="1"/>
  <c r="BH7" i="20" s="1"/>
  <c r="BI7" i="20" s="1"/>
  <c r="BJ7" i="20" s="1"/>
  <c r="BK6" i="20"/>
  <c r="BF7" i="18"/>
  <c r="BG7" i="18" s="1"/>
  <c r="BH7" i="18" s="1"/>
  <c r="BI7" i="18" s="1"/>
  <c r="BJ7" i="18" s="1"/>
  <c r="BK6" i="18"/>
  <c r="BA6" i="16"/>
  <c r="AV7" i="16"/>
  <c r="AW7" i="16" s="1"/>
  <c r="AX7" i="16" s="1"/>
  <c r="AY7" i="16" s="1"/>
  <c r="AZ7" i="16" s="1"/>
  <c r="BK7" i="20" l="1"/>
  <c r="BL7" i="20" s="1"/>
  <c r="BM7" i="20" s="1"/>
  <c r="BN7" i="20" s="1"/>
  <c r="BO7" i="20" s="1"/>
  <c r="BP6" i="20"/>
  <c r="BK7" i="18"/>
  <c r="BL7" i="18" s="1"/>
  <c r="BM7" i="18" s="1"/>
  <c r="BN7" i="18" s="1"/>
  <c r="BO7" i="18" s="1"/>
  <c r="BP6" i="18"/>
  <c r="BF6" i="16"/>
  <c r="BA7" i="16"/>
  <c r="BB7" i="16" s="1"/>
  <c r="BC7" i="16" s="1"/>
  <c r="BD7" i="16" s="1"/>
  <c r="BE7" i="16" s="1"/>
  <c r="BP7" i="20" l="1"/>
  <c r="BQ7" i="20" s="1"/>
  <c r="BR7" i="20" s="1"/>
  <c r="BS7" i="20" s="1"/>
  <c r="BT7" i="20" s="1"/>
  <c r="BU6" i="20"/>
  <c r="BP7" i="18"/>
  <c r="BQ7" i="18" s="1"/>
  <c r="BR7" i="18" s="1"/>
  <c r="BS7" i="18" s="1"/>
  <c r="BT7" i="18" s="1"/>
  <c r="BU6" i="18"/>
  <c r="BF7" i="16"/>
  <c r="BG7" i="16" s="1"/>
  <c r="BH7" i="16" s="1"/>
  <c r="BI7" i="16" s="1"/>
  <c r="BJ7" i="16" s="1"/>
  <c r="BK6" i="16"/>
  <c r="BU7" i="20" l="1"/>
  <c r="BV7" i="20" s="1"/>
  <c r="BW7" i="20" s="1"/>
  <c r="BX7" i="20" s="1"/>
  <c r="BY7" i="20" s="1"/>
  <c r="BZ6" i="20"/>
  <c r="BU7" i="18"/>
  <c r="BV7" i="18" s="1"/>
  <c r="BW7" i="18" s="1"/>
  <c r="BX7" i="18" s="1"/>
  <c r="BY7" i="18" s="1"/>
  <c r="BZ6" i="18"/>
  <c r="BP6" i="16"/>
  <c r="BK7" i="16"/>
  <c r="BL7" i="16" s="1"/>
  <c r="BM7" i="16" s="1"/>
  <c r="BN7" i="16" s="1"/>
  <c r="BO7" i="16" s="1"/>
  <c r="BZ7" i="20" l="1"/>
  <c r="CA7" i="20" s="1"/>
  <c r="CB7" i="20" s="1"/>
  <c r="CC7" i="20" s="1"/>
  <c r="CD7" i="20" s="1"/>
  <c r="CE6" i="20"/>
  <c r="BZ7" i="18"/>
  <c r="CA7" i="18" s="1"/>
  <c r="CB7" i="18" s="1"/>
  <c r="CC7" i="18" s="1"/>
  <c r="CD7" i="18" s="1"/>
  <c r="CE6" i="18"/>
  <c r="BP7" i="16"/>
  <c r="BQ7" i="16" s="1"/>
  <c r="BR7" i="16" s="1"/>
  <c r="BS7" i="16" s="1"/>
  <c r="BT7" i="16" s="1"/>
  <c r="BU6" i="16"/>
  <c r="CE7" i="20" l="1"/>
  <c r="CF7" i="20" s="1"/>
  <c r="CG7" i="20" s="1"/>
  <c r="CH7" i="20" s="1"/>
  <c r="CI7" i="20" s="1"/>
  <c r="CJ6" i="20"/>
  <c r="CJ7" i="20" s="1"/>
  <c r="CK7" i="20" s="1"/>
  <c r="CL7" i="20" s="1"/>
  <c r="CM7" i="20" s="1"/>
  <c r="CN7" i="20" s="1"/>
  <c r="CE7" i="18"/>
  <c r="CF7" i="18" s="1"/>
  <c r="CG7" i="18" s="1"/>
  <c r="CH7" i="18" s="1"/>
  <c r="CI7" i="18" s="1"/>
  <c r="CJ6" i="18"/>
  <c r="CJ7" i="18" s="1"/>
  <c r="CK7" i="18" s="1"/>
  <c r="CL7" i="18" s="1"/>
  <c r="CM7" i="18" s="1"/>
  <c r="CN7" i="18" s="1"/>
  <c r="BU7" i="16"/>
  <c r="BV7" i="16" s="1"/>
  <c r="BW7" i="16" s="1"/>
  <c r="BX7" i="16" s="1"/>
  <c r="BY7" i="16" s="1"/>
  <c r="BZ6" i="16"/>
  <c r="BZ7" i="16" l="1"/>
  <c r="CA7" i="16" s="1"/>
  <c r="CB7" i="16" s="1"/>
  <c r="CC7" i="16" s="1"/>
  <c r="CD7" i="16" s="1"/>
  <c r="CE6" i="16"/>
  <c r="CE7" i="16" l="1"/>
  <c r="CF7" i="16" s="1"/>
  <c r="CG7" i="16" s="1"/>
  <c r="CH7" i="16" s="1"/>
  <c r="CI7" i="16" s="1"/>
  <c r="CJ6" i="16"/>
  <c r="CJ7" i="16" s="1"/>
  <c r="CK7" i="16" s="1"/>
  <c r="CL7" i="16" s="1"/>
  <c r="CM7" i="16" s="1"/>
  <c r="CN7" i="16" s="1"/>
</calcChain>
</file>

<file path=xl/sharedStrings.xml><?xml version="1.0" encoding="utf-8"?>
<sst xmlns="http://schemas.openxmlformats.org/spreadsheetml/2006/main" count="429" uniqueCount="95">
  <si>
    <t>企画制作　進捗管理表</t>
    <phoneticPr fontId="19"/>
  </si>
  <si>
    <t xml:space="preserve"> 制作開始日:</t>
    <phoneticPr fontId="19"/>
  </si>
  <si>
    <t>チーム名：幸せの曲がり角</t>
    <rPh sb="5" eb="6">
      <t>シアワ</t>
    </rPh>
    <rPh sb="8" eb="9">
      <t>マ</t>
    </rPh>
    <rPh sb="11" eb="12">
      <t>カド</t>
    </rPh>
    <phoneticPr fontId="19"/>
  </si>
  <si>
    <t>リーダー：遠藤直樹</t>
    <rPh sb="5" eb="9">
      <t>エンドウナオキ</t>
    </rPh>
    <phoneticPr fontId="19"/>
  </si>
  <si>
    <t>メンバー：押川征矢　勝吉虹斗</t>
    <rPh sb="5" eb="7">
      <t>オシカワ</t>
    </rPh>
    <rPh sb="7" eb="8">
      <t>セイ</t>
    </rPh>
    <rPh sb="8" eb="9">
      <t>ヤ</t>
    </rPh>
    <rPh sb="10" eb="12">
      <t>カツヨシ</t>
    </rPh>
    <rPh sb="12" eb="13">
      <t>ニジ</t>
    </rPh>
    <rPh sb="13" eb="14">
      <t>ト</t>
    </rPh>
    <phoneticPr fontId="19"/>
  </si>
  <si>
    <t>α</t>
  </si>
  <si>
    <t>β</t>
  </si>
  <si>
    <t>FiX</t>
  </si>
  <si>
    <t>予定</t>
    <rPh sb="0" eb="2">
      <t>ヨテイ</t>
    </rPh>
    <phoneticPr fontId="19"/>
  </si>
  <si>
    <t>実績</t>
    <rPh sb="0" eb="2">
      <t>ジッセキ</t>
    </rPh>
    <phoneticPr fontId="19"/>
  </si>
  <si>
    <t>タスク名</t>
    <rPh sb="3" eb="4">
      <t>メイ</t>
    </rPh>
    <phoneticPr fontId="19"/>
  </si>
  <si>
    <t>担当者</t>
  </si>
  <si>
    <t>進捗(%)</t>
    <phoneticPr fontId="19"/>
  </si>
  <si>
    <t>開始日</t>
    <rPh sb="2" eb="3">
      <t>ビ</t>
    </rPh>
    <phoneticPr fontId="19"/>
  </si>
  <si>
    <t>終了日</t>
    <rPh sb="2" eb="3">
      <t>テイジツ</t>
    </rPh>
    <phoneticPr fontId="19"/>
  </si>
  <si>
    <t>月</t>
    <rPh sb="0" eb="1">
      <t>ゲツ</t>
    </rPh>
    <phoneticPr fontId="19"/>
  </si>
  <si>
    <t>火</t>
    <rPh sb="0" eb="1">
      <t>カ</t>
    </rPh>
    <phoneticPr fontId="19"/>
  </si>
  <si>
    <t>水</t>
    <rPh sb="0" eb="1">
      <t>スイ</t>
    </rPh>
    <phoneticPr fontId="19"/>
  </si>
  <si>
    <t>木</t>
    <rPh sb="0" eb="1">
      <t>モク</t>
    </rPh>
    <phoneticPr fontId="19"/>
  </si>
  <si>
    <t>金</t>
    <rPh sb="0" eb="1">
      <t>キン</t>
    </rPh>
    <phoneticPr fontId="19"/>
  </si>
  <si>
    <t>プレイヤーキャラクター</t>
    <phoneticPr fontId="19"/>
  </si>
  <si>
    <t>全員</t>
    <rPh sb="0" eb="2">
      <t>ゼンイン</t>
    </rPh>
    <phoneticPr fontId="19"/>
  </si>
  <si>
    <t>移動</t>
    <rPh sb="0" eb="2">
      <t>イドウ</t>
    </rPh>
    <phoneticPr fontId="19"/>
  </si>
  <si>
    <t>勝吉</t>
    <rPh sb="0" eb="2">
      <t>カツヨシ</t>
    </rPh>
    <phoneticPr fontId="19"/>
  </si>
  <si>
    <t>アイテムの適用</t>
    <rPh sb="5" eb="7">
      <t>テキヨウ</t>
    </rPh>
    <phoneticPr fontId="19"/>
  </si>
  <si>
    <t>押川</t>
    <rPh sb="0" eb="2">
      <t>オシカワ</t>
    </rPh>
    <phoneticPr fontId="19"/>
  </si>
  <si>
    <t>描画</t>
    <rPh sb="0" eb="2">
      <t>ビョウガ</t>
    </rPh>
    <phoneticPr fontId="19"/>
  </si>
  <si>
    <t>画像制作</t>
  </si>
  <si>
    <t>遠藤</t>
    <rPh sb="0" eb="2">
      <t>エンドウ</t>
    </rPh>
    <phoneticPr fontId="19"/>
  </si>
  <si>
    <t>タスク名５(6以上は行を挿入)</t>
    <rPh sb="3" eb="4">
      <t>メイ</t>
    </rPh>
    <rPh sb="7" eb="9">
      <t>イジョウ</t>
    </rPh>
    <rPh sb="10" eb="11">
      <t>ギョウ</t>
    </rPh>
    <rPh sb="12" eb="14">
      <t>ソウニュウ</t>
    </rPh>
    <phoneticPr fontId="19"/>
  </si>
  <si>
    <t>マップ</t>
    <phoneticPr fontId="19"/>
  </si>
  <si>
    <t>マップチップ</t>
    <phoneticPr fontId="19"/>
  </si>
  <si>
    <t>オブジェクト</t>
    <phoneticPr fontId="19"/>
  </si>
  <si>
    <t>マップ雰囲気</t>
    <rPh sb="3" eb="6">
      <t>フンイキ</t>
    </rPh>
    <phoneticPr fontId="19"/>
  </si>
  <si>
    <t>マッププログラム</t>
    <phoneticPr fontId="19"/>
  </si>
  <si>
    <t>マップ描画</t>
    <rPh sb="3" eb="5">
      <t>ビョウガ</t>
    </rPh>
    <phoneticPr fontId="19"/>
  </si>
  <si>
    <t>敵の描写</t>
    <rPh sb="0" eb="1">
      <t>テキ</t>
    </rPh>
    <rPh sb="2" eb="4">
      <t>ビョウシャ</t>
    </rPh>
    <phoneticPr fontId="19"/>
  </si>
  <si>
    <t>全員</t>
  </si>
  <si>
    <t>遠藤</t>
  </si>
  <si>
    <t>当たり判定</t>
    <rPh sb="0" eb="1">
      <t>ア</t>
    </rPh>
    <rPh sb="3" eb="5">
      <t>ハンテイ</t>
    </rPh>
    <phoneticPr fontId="19"/>
  </si>
  <si>
    <t>タスク名４</t>
    <rPh sb="3" eb="4">
      <t>メイ</t>
    </rPh>
    <phoneticPr fontId="19"/>
  </si>
  <si>
    <t>タスク名５(6以上は行を挿入)</t>
    <rPh sb="3" eb="4">
      <t>メイ</t>
    </rPh>
    <phoneticPr fontId="19"/>
  </si>
  <si>
    <t>UI</t>
  </si>
  <si>
    <t>タイトル画像</t>
  </si>
  <si>
    <t>ゲームオーバー画像</t>
  </si>
  <si>
    <t>ミニマップ</t>
    <phoneticPr fontId="19"/>
  </si>
  <si>
    <t>予備作業期間</t>
    <rPh sb="0" eb="2">
      <t>ヨビ</t>
    </rPh>
    <rPh sb="2" eb="4">
      <t>サギョウ</t>
    </rPh>
    <rPh sb="4" eb="6">
      <t>キカン</t>
    </rPh>
    <phoneticPr fontId="19"/>
  </si>
  <si>
    <t>タスク名１</t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</si>
  <si>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</si>
  <si>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デコイ生成</t>
  </si>
  <si>
    <t>雪でのプレイヤー移動</t>
  </si>
  <si>
    <t>マップチップ（256）</t>
  </si>
  <si>
    <t>アイテム</t>
  </si>
  <si>
    <t>マップ製作</t>
  </si>
  <si>
    <t>マップ当たり判定</t>
  </si>
  <si>
    <t>カメラスクロール</t>
  </si>
  <si>
    <t>押川</t>
  </si>
  <si>
    <t>移動</t>
  </si>
  <si>
    <t>遠藤　勝吉</t>
  </si>
  <si>
    <t>行動アルゴリズム</t>
  </si>
  <si>
    <t>索敵</t>
  </si>
  <si>
    <t>勝吉</t>
  </si>
  <si>
    <t>アイテム画像</t>
  </si>
  <si>
    <t>メンバー：</t>
    <phoneticPr fontId="19"/>
  </si>
  <si>
    <t>ゲームシステム関係</t>
    <rPh sb="7" eb="9">
      <t>カンケイ</t>
    </rPh>
    <phoneticPr fontId="19"/>
  </si>
  <si>
    <t>カメラ</t>
    <phoneticPr fontId="19"/>
  </si>
  <si>
    <t>セーブ</t>
    <phoneticPr fontId="19"/>
  </si>
  <si>
    <t>マップ</t>
    <phoneticPr fontId="19"/>
  </si>
  <si>
    <t>バトルシーン</t>
    <phoneticPr fontId="19"/>
  </si>
  <si>
    <t>オプション</t>
    <phoneticPr fontId="19"/>
  </si>
  <si>
    <t>アイテム</t>
    <phoneticPr fontId="19"/>
  </si>
  <si>
    <t>パラメータ</t>
    <phoneticPr fontId="19"/>
  </si>
  <si>
    <t>ビジュアル</t>
    <phoneticPr fontId="19"/>
  </si>
  <si>
    <t>資料</t>
    <rPh sb="0" eb="2">
      <t>シリョウ</t>
    </rPh>
    <phoneticPr fontId="19"/>
  </si>
  <si>
    <t>ゲーム概要書</t>
    <rPh sb="3" eb="6">
      <t>ガイヨウショ</t>
    </rPh>
    <phoneticPr fontId="19"/>
  </si>
  <si>
    <t>企画書</t>
    <rPh sb="0" eb="3">
      <t>キカクショ</t>
    </rPh>
    <phoneticPr fontId="19"/>
  </si>
  <si>
    <t>仕様書</t>
    <rPh sb="0" eb="3">
      <t>シヨウショ</t>
    </rPh>
    <phoneticPr fontId="19"/>
  </si>
  <si>
    <t>プレイヤー立ち絵</t>
    <rPh sb="5" eb="6">
      <t>タ</t>
    </rPh>
    <rPh sb="7" eb="8">
      <t>エ</t>
    </rPh>
    <phoneticPr fontId="19"/>
  </si>
  <si>
    <t>モンスター</t>
    <phoneticPr fontId="19"/>
  </si>
  <si>
    <t>マップ</t>
    <phoneticPr fontId="19"/>
  </si>
  <si>
    <t>戦闘シーン</t>
    <rPh sb="0" eb="2">
      <t>セントウ</t>
    </rPh>
    <phoneticPr fontId="19"/>
  </si>
  <si>
    <t>立ち絵</t>
    <rPh sb="0" eb="1">
      <t>タ</t>
    </rPh>
    <rPh sb="2" eb="3">
      <t>エ</t>
    </rPh>
    <phoneticPr fontId="19"/>
  </si>
  <si>
    <t>ドット絵</t>
    <rPh sb="3" eb="4">
      <t>エ</t>
    </rPh>
    <phoneticPr fontId="19"/>
  </si>
  <si>
    <t>全体ビジュアル</t>
    <rPh sb="0" eb="2">
      <t>ゼンタイ</t>
    </rPh>
    <phoneticPr fontId="19"/>
  </si>
  <si>
    <t>オブジェクト類</t>
    <rPh sb="6" eb="7">
      <t>ルイ</t>
    </rPh>
    <phoneticPr fontId="19"/>
  </si>
  <si>
    <t>内部</t>
    <rPh sb="0" eb="2">
      <t>ナイブ</t>
    </rPh>
    <phoneticPr fontId="19"/>
  </si>
  <si>
    <t>外側</t>
    <rPh sb="0" eb="2">
      <t>ソトガワ</t>
    </rPh>
    <phoneticPr fontId="19"/>
  </si>
  <si>
    <t>アイテム</t>
    <phoneticPr fontId="19"/>
  </si>
  <si>
    <t>ロザリオ</t>
    <phoneticPr fontId="19"/>
  </si>
  <si>
    <t>オーブ</t>
    <phoneticPr fontId="19"/>
  </si>
  <si>
    <t>その他アイテム</t>
    <rPh sb="2" eb="3">
      <t>タ</t>
    </rPh>
    <phoneticPr fontId="19"/>
  </si>
  <si>
    <t>UI</t>
    <phoneticPr fontId="19"/>
  </si>
  <si>
    <t>システム関連</t>
    <rPh sb="4" eb="6">
      <t>カンレン</t>
    </rPh>
    <phoneticPr fontId="19"/>
  </si>
  <si>
    <t>チーム名：まりあ様親衛隊</t>
    <rPh sb="8" eb="9">
      <t>サマ</t>
    </rPh>
    <rPh sb="9" eb="12">
      <t>シンエイタイ</t>
    </rPh>
    <phoneticPr fontId="19"/>
  </si>
  <si>
    <t>マップシーン</t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</si>
</sst>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d"/>
    <numFmt numFmtId="181" formatCode="m&quot;月&quot;d&quot;日&quot;;@"/>
    <numFmt numFmtId="182" formatCode="yyyy/m/d\ \,\ aaa"/>
    <numFmt numFmtId="183" formatCode="yyyy&quot;年&quot;m&quot;月&quot;d&quot;日&quot;\ \ \ &quot;(&quot;aaa&quot;)&quot;"/>
  </numFmts>
  <fonts count="31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sz val="12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0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1"/>
      <name val="メイリオ"/>
      <family val="3"/>
      <charset val="128"/>
    </font>
    <font>
      <b/>
      <sz val="11"/>
      <name val="メイリオ"/>
      <family val="3"/>
      <charset val="128"/>
    </font>
  </fonts>
  <fills count="4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3" fillId="8" borderId="0" applyNumberFormat="0" applyBorder="0" applyAlignment="0" applyProtection="0"/>
    <xf numFmtId="0" fontId="14" fillId="9" borderId="0" applyNumberFormat="0" applyBorder="0" applyAlignment="0" applyProtection="0"/>
    <xf numFmtId="0" fontId="12" fillId="10" borderId="3" applyNumberFormat="0" applyAlignment="0" applyProtection="0"/>
    <xf numFmtId="0" fontId="15" fillId="11" borderId="4" applyNumberFormat="0" applyAlignment="0" applyProtection="0"/>
    <xf numFmtId="0" fontId="4" fillId="11" borderId="3" applyNumberFormat="0" applyAlignment="0" applyProtection="0"/>
    <xf numFmtId="0" fontId="13" fillId="0" borderId="5" applyNumberFormat="0" applyFill="0" applyAlignment="0" applyProtection="0"/>
    <xf numFmtId="0" fontId="5" fillId="12" borderId="6" applyNumberFormat="0" applyAlignment="0" applyProtection="0"/>
    <xf numFmtId="0" fontId="18" fillId="0" borderId="0" applyNumberFormat="0" applyFill="0" applyBorder="0" applyAlignment="0" applyProtection="0"/>
    <xf numFmtId="0" fontId="1" fillId="13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126">
    <xf numFmtId="0" fontId="0" fillId="0" borderId="0" xfId="0"/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2" fillId="39" borderId="9" xfId="0" applyFont="1" applyFill="1" applyBorder="1" applyAlignment="1" applyProtection="1">
      <alignment shrinkToFit="1"/>
      <protection locked="0"/>
    </xf>
    <xf numFmtId="0" fontId="20" fillId="39" borderId="9" xfId="0" applyFont="1" applyFill="1" applyBorder="1" applyProtection="1">
      <protection locked="0"/>
    </xf>
    <xf numFmtId="0" fontId="20" fillId="39" borderId="9" xfId="0" applyFont="1" applyFill="1" applyBorder="1" applyAlignment="1" applyProtection="1">
      <alignment horizontal="center"/>
      <protection locked="0"/>
    </xf>
    <xf numFmtId="181" fontId="20" fillId="39" borderId="9" xfId="0" applyNumberFormat="1" applyFont="1" applyFill="1" applyBorder="1" applyProtection="1">
      <protection locked="0"/>
    </xf>
    <xf numFmtId="180" fontId="21" fillId="39" borderId="10" xfId="0" applyNumberFormat="1" applyFont="1" applyFill="1" applyBorder="1" applyAlignment="1" applyProtection="1">
      <alignment horizontal="center"/>
      <protection locked="0"/>
    </xf>
    <xf numFmtId="0" fontId="20" fillId="39" borderId="11" xfId="0" applyFont="1" applyFill="1" applyBorder="1" applyProtection="1">
      <protection locked="0"/>
    </xf>
    <xf numFmtId="0" fontId="20" fillId="39" borderId="12" xfId="0" applyFont="1" applyFill="1" applyBorder="1" applyProtection="1">
      <protection locked="0"/>
    </xf>
    <xf numFmtId="0" fontId="20" fillId="38" borderId="9" xfId="0" applyFont="1" applyFill="1" applyBorder="1" applyProtection="1">
      <protection locked="0"/>
    </xf>
    <xf numFmtId="0" fontId="20" fillId="38" borderId="9" xfId="0" applyFont="1" applyFill="1" applyBorder="1" applyAlignment="1" applyProtection="1">
      <alignment horizontal="center"/>
      <protection locked="0"/>
    </xf>
    <xf numFmtId="181" fontId="20" fillId="38" borderId="9" xfId="0" applyNumberFormat="1" applyFont="1" applyFill="1" applyBorder="1" applyProtection="1">
      <protection locked="0"/>
    </xf>
    <xf numFmtId="0" fontId="20" fillId="38" borderId="10" xfId="0" applyFont="1" applyFill="1" applyBorder="1" applyProtection="1">
      <protection locked="0"/>
    </xf>
    <xf numFmtId="0" fontId="20" fillId="38" borderId="11" xfId="0" applyFont="1" applyFill="1" applyBorder="1" applyProtection="1">
      <protection locked="0"/>
    </xf>
    <xf numFmtId="0" fontId="20" fillId="38" borderId="12" xfId="0" applyFont="1" applyFill="1" applyBorder="1" applyProtection="1">
      <protection locked="0"/>
    </xf>
    <xf numFmtId="0" fontId="22" fillId="4" borderId="9" xfId="0" applyFont="1" applyFill="1" applyBorder="1" applyAlignment="1" applyProtection="1">
      <alignment shrinkToFit="1"/>
      <protection locked="0"/>
    </xf>
    <xf numFmtId="0" fontId="20" fillId="4" borderId="9" xfId="0" applyFont="1" applyFill="1" applyBorder="1" applyProtection="1">
      <protection locked="0"/>
    </xf>
    <xf numFmtId="0" fontId="20" fillId="4" borderId="9" xfId="0" applyFont="1" applyFill="1" applyBorder="1" applyAlignment="1" applyProtection="1">
      <alignment horizontal="center"/>
      <protection locked="0"/>
    </xf>
    <xf numFmtId="181" fontId="20" fillId="4" borderId="9" xfId="0" applyNumberFormat="1" applyFont="1" applyFill="1" applyBorder="1" applyProtection="1">
      <protection locked="0"/>
    </xf>
    <xf numFmtId="0" fontId="20" fillId="4" borderId="10" xfId="0" applyFont="1" applyFill="1" applyBorder="1" applyProtection="1">
      <protection locked="0"/>
    </xf>
    <xf numFmtId="0" fontId="20" fillId="4" borderId="11" xfId="0" applyFont="1" applyFill="1" applyBorder="1" applyProtection="1">
      <protection locked="0"/>
    </xf>
    <xf numFmtId="0" fontId="20" fillId="4" borderId="12" xfId="0" applyFont="1" applyFill="1" applyBorder="1" applyProtection="1">
      <protection locked="0"/>
    </xf>
    <xf numFmtId="0" fontId="20" fillId="2" borderId="9" xfId="0" applyFont="1" applyFill="1" applyBorder="1" applyProtection="1">
      <protection locked="0"/>
    </xf>
    <xf numFmtId="0" fontId="20" fillId="2" borderId="9" xfId="0" applyFont="1" applyFill="1" applyBorder="1" applyAlignment="1" applyProtection="1">
      <alignment horizontal="center"/>
      <protection locked="0"/>
    </xf>
    <xf numFmtId="181" fontId="20" fillId="2" borderId="9" xfId="0" applyNumberFormat="1" applyFont="1" applyFill="1" applyBorder="1" applyProtection="1">
      <protection locked="0"/>
    </xf>
    <xf numFmtId="0" fontId="20" fillId="2" borderId="10" xfId="0" applyFont="1" applyFill="1" applyBorder="1" applyProtection="1">
      <protection locked="0"/>
    </xf>
    <xf numFmtId="0" fontId="20" fillId="2" borderId="11" xfId="0" applyFont="1" applyFill="1" applyBorder="1" applyProtection="1">
      <protection locked="0"/>
    </xf>
    <xf numFmtId="0" fontId="20" fillId="2" borderId="12" xfId="0" applyFont="1" applyFill="1" applyBorder="1" applyProtection="1">
      <protection locked="0"/>
    </xf>
    <xf numFmtId="0" fontId="22" fillId="3" borderId="9" xfId="0" applyFont="1" applyFill="1" applyBorder="1" applyAlignment="1" applyProtection="1">
      <alignment shrinkToFit="1"/>
      <protection locked="0"/>
    </xf>
    <xf numFmtId="0" fontId="20" fillId="3" borderId="9" xfId="0" applyFont="1" applyFill="1" applyBorder="1" applyProtection="1">
      <protection locked="0"/>
    </xf>
    <xf numFmtId="0" fontId="20" fillId="3" borderId="9" xfId="0" applyFont="1" applyFill="1" applyBorder="1" applyAlignment="1" applyProtection="1">
      <alignment horizontal="center"/>
      <protection locked="0"/>
    </xf>
    <xf numFmtId="181" fontId="20" fillId="3" borderId="9" xfId="0" applyNumberFormat="1" applyFont="1" applyFill="1" applyBorder="1" applyProtection="1">
      <protection locked="0"/>
    </xf>
    <xf numFmtId="0" fontId="20" fillId="3" borderId="10" xfId="0" applyFont="1" applyFill="1" applyBorder="1" applyProtection="1">
      <protection locked="0"/>
    </xf>
    <xf numFmtId="0" fontId="20" fillId="3" borderId="11" xfId="0" applyFont="1" applyFill="1" applyBorder="1" applyProtection="1">
      <protection locked="0"/>
    </xf>
    <xf numFmtId="0" fontId="20" fillId="3" borderId="12" xfId="0" applyFont="1" applyFill="1" applyBorder="1" applyProtection="1">
      <protection locked="0"/>
    </xf>
    <xf numFmtId="0" fontId="20" fillId="6" borderId="9" xfId="0" applyFont="1" applyFill="1" applyBorder="1" applyProtection="1">
      <protection locked="0"/>
    </xf>
    <xf numFmtId="0" fontId="20" fillId="6" borderId="9" xfId="0" applyFont="1" applyFill="1" applyBorder="1" applyAlignment="1" applyProtection="1">
      <alignment horizontal="center"/>
      <protection locked="0"/>
    </xf>
    <xf numFmtId="181" fontId="20" fillId="6" borderId="9" xfId="0" applyNumberFormat="1" applyFont="1" applyFill="1" applyBorder="1" applyProtection="1">
      <protection locked="0"/>
    </xf>
    <xf numFmtId="0" fontId="20" fillId="6" borderId="10" xfId="0" applyFont="1" applyFill="1" applyBorder="1" applyProtection="1">
      <protection locked="0"/>
    </xf>
    <xf numFmtId="0" fontId="20" fillId="6" borderId="11" xfId="0" applyFont="1" applyFill="1" applyBorder="1" applyProtection="1">
      <protection locked="0"/>
    </xf>
    <xf numFmtId="0" fontId="20" fillId="6" borderId="12" xfId="0" applyFont="1" applyFill="1" applyBorder="1" applyProtection="1">
      <protection locked="0"/>
    </xf>
    <xf numFmtId="0" fontId="22" fillId="40" borderId="9" xfId="0" applyFont="1" applyFill="1" applyBorder="1" applyAlignment="1" applyProtection="1">
      <alignment shrinkToFit="1"/>
      <protection locked="0"/>
    </xf>
    <xf numFmtId="0" fontId="20" fillId="40" borderId="9" xfId="0" applyFont="1" applyFill="1" applyBorder="1" applyProtection="1">
      <protection locked="0"/>
    </xf>
    <xf numFmtId="0" fontId="20" fillId="40" borderId="9" xfId="0" applyFont="1" applyFill="1" applyBorder="1" applyAlignment="1" applyProtection="1">
      <alignment horizontal="center"/>
      <protection locked="0"/>
    </xf>
    <xf numFmtId="181" fontId="20" fillId="40" borderId="9" xfId="0" applyNumberFormat="1" applyFont="1" applyFill="1" applyBorder="1" applyProtection="1">
      <protection locked="0"/>
    </xf>
    <xf numFmtId="0" fontId="20" fillId="40" borderId="10" xfId="0" applyFont="1" applyFill="1" applyBorder="1" applyProtection="1">
      <protection locked="0"/>
    </xf>
    <xf numFmtId="0" fontId="20" fillId="40" borderId="11" xfId="0" applyFont="1" applyFill="1" applyBorder="1" applyProtection="1">
      <protection locked="0"/>
    </xf>
    <xf numFmtId="0" fontId="20" fillId="40" borderId="12" xfId="0" applyFont="1" applyFill="1" applyBorder="1" applyProtection="1">
      <protection locked="0"/>
    </xf>
    <xf numFmtId="0" fontId="20" fillId="41" borderId="9" xfId="0" applyFont="1" applyFill="1" applyBorder="1" applyProtection="1">
      <protection locked="0"/>
    </xf>
    <xf numFmtId="0" fontId="20" fillId="41" borderId="9" xfId="0" applyFont="1" applyFill="1" applyBorder="1" applyAlignment="1" applyProtection="1">
      <alignment horizontal="center"/>
      <protection locked="0"/>
    </xf>
    <xf numFmtId="181" fontId="20" fillId="41" borderId="9" xfId="0" applyNumberFormat="1" applyFont="1" applyFill="1" applyBorder="1" applyProtection="1">
      <protection locked="0"/>
    </xf>
    <xf numFmtId="0" fontId="20" fillId="41" borderId="10" xfId="0" applyFont="1" applyFill="1" applyBorder="1" applyProtection="1">
      <protection locked="0"/>
    </xf>
    <xf numFmtId="0" fontId="20" fillId="41" borderId="11" xfId="0" applyFont="1" applyFill="1" applyBorder="1" applyProtection="1">
      <protection locked="0"/>
    </xf>
    <xf numFmtId="0" fontId="20" fillId="41" borderId="12" xfId="0" applyFont="1" applyFill="1" applyBorder="1" applyProtection="1">
      <protection locked="0"/>
    </xf>
    <xf numFmtId="0" fontId="20" fillId="5" borderId="0" xfId="0" applyFont="1" applyFill="1" applyProtection="1">
      <protection locked="0"/>
    </xf>
    <xf numFmtId="0" fontId="20" fillId="5" borderId="0" xfId="0" applyFont="1" applyFill="1" applyAlignment="1" applyProtection="1">
      <alignment horizontal="center"/>
      <protection locked="0"/>
    </xf>
    <xf numFmtId="0" fontId="20" fillId="38" borderId="9" xfId="0" applyFont="1" applyFill="1" applyBorder="1" applyAlignment="1" applyProtection="1">
      <alignment horizontal="left" indent="1" shrinkToFit="1"/>
      <protection locked="0"/>
    </xf>
    <xf numFmtId="0" fontId="20" fillId="2" borderId="9" xfId="0" applyFont="1" applyFill="1" applyBorder="1" applyAlignment="1" applyProtection="1">
      <alignment horizontal="left" indent="1" shrinkToFit="1"/>
      <protection locked="0"/>
    </xf>
    <xf numFmtId="0" fontId="20" fillId="6" borderId="9" xfId="0" applyFont="1" applyFill="1" applyBorder="1" applyAlignment="1" applyProtection="1">
      <alignment horizontal="left" indent="1" shrinkToFit="1"/>
      <protection locked="0"/>
    </xf>
    <xf numFmtId="0" fontId="20" fillId="41" borderId="9" xfId="0" applyFont="1" applyFill="1" applyBorder="1" applyAlignment="1" applyProtection="1">
      <alignment horizontal="left" indent="1" shrinkToFit="1"/>
      <protection locked="0"/>
    </xf>
    <xf numFmtId="0" fontId="20" fillId="0" borderId="0" xfId="0" applyFont="1"/>
    <xf numFmtId="0" fontId="20" fillId="0" borderId="0" xfId="0" applyFont="1" applyAlignment="1">
      <alignment horizontal="center"/>
    </xf>
    <xf numFmtId="180" fontId="21" fillId="0" borderId="9" xfId="0" applyNumberFormat="1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0" fillId="0" borderId="0" xfId="0" applyFont="1" applyAlignment="1">
      <alignment horizontal="right"/>
    </xf>
    <xf numFmtId="0" fontId="25" fillId="0" borderId="0" xfId="0" applyFont="1" applyAlignment="1">
      <alignment horizontal="right" vertical="center"/>
    </xf>
    <xf numFmtId="0" fontId="24" fillId="0" borderId="0" xfId="0" applyFont="1" applyAlignment="1">
      <alignment vertical="top"/>
    </xf>
    <xf numFmtId="0" fontId="22" fillId="5" borderId="0" xfId="0" applyFont="1" applyFill="1"/>
    <xf numFmtId="0" fontId="22" fillId="42" borderId="9" xfId="0" applyFont="1" applyFill="1" applyBorder="1" applyAlignment="1" applyProtection="1">
      <alignment shrinkToFit="1"/>
      <protection locked="0"/>
    </xf>
    <xf numFmtId="0" fontId="20" fillId="42" borderId="9" xfId="0" applyFont="1" applyFill="1" applyBorder="1" applyProtection="1">
      <protection locked="0"/>
    </xf>
    <xf numFmtId="0" fontId="20" fillId="42" borderId="9" xfId="0" applyFont="1" applyFill="1" applyBorder="1" applyAlignment="1" applyProtection="1">
      <alignment horizontal="center"/>
      <protection locked="0"/>
    </xf>
    <xf numFmtId="181" fontId="20" fillId="42" borderId="9" xfId="0" applyNumberFormat="1" applyFont="1" applyFill="1" applyBorder="1" applyProtection="1">
      <protection locked="0"/>
    </xf>
    <xf numFmtId="0" fontId="20" fillId="42" borderId="10" xfId="0" applyFont="1" applyFill="1" applyBorder="1" applyProtection="1">
      <protection locked="0"/>
    </xf>
    <xf numFmtId="0" fontId="20" fillId="42" borderId="11" xfId="0" applyFont="1" applyFill="1" applyBorder="1" applyProtection="1">
      <protection locked="0"/>
    </xf>
    <xf numFmtId="0" fontId="20" fillId="42" borderId="12" xfId="0" applyFont="1" applyFill="1" applyBorder="1" applyProtection="1">
      <protection locked="0"/>
    </xf>
    <xf numFmtId="0" fontId="20" fillId="43" borderId="9" xfId="0" applyFont="1" applyFill="1" applyBorder="1" applyAlignment="1" applyProtection="1">
      <alignment horizontal="left" indent="1" shrinkToFit="1"/>
      <protection locked="0"/>
    </xf>
    <xf numFmtId="0" fontId="20" fillId="43" borderId="9" xfId="0" applyFont="1" applyFill="1" applyBorder="1" applyProtection="1">
      <protection locked="0"/>
    </xf>
    <xf numFmtId="0" fontId="20" fillId="43" borderId="9" xfId="0" applyFont="1" applyFill="1" applyBorder="1" applyAlignment="1" applyProtection="1">
      <alignment horizontal="center"/>
      <protection locked="0"/>
    </xf>
    <xf numFmtId="181" fontId="20" fillId="43" borderId="9" xfId="0" applyNumberFormat="1" applyFont="1" applyFill="1" applyBorder="1" applyProtection="1">
      <protection locked="0"/>
    </xf>
    <xf numFmtId="0" fontId="20" fillId="43" borderId="10" xfId="0" applyFont="1" applyFill="1" applyBorder="1" applyProtection="1">
      <protection locked="0"/>
    </xf>
    <xf numFmtId="0" fontId="20" fillId="43" borderId="11" xfId="0" applyFont="1" applyFill="1" applyBorder="1" applyProtection="1">
      <protection locked="0"/>
    </xf>
    <xf numFmtId="0" fontId="20" fillId="43" borderId="12" xfId="0" applyFont="1" applyFill="1" applyBorder="1" applyProtection="1">
      <protection locked="0"/>
    </xf>
    <xf numFmtId="0" fontId="20" fillId="0" borderId="0" xfId="0" applyFont="1" applyAlignment="1" applyProtection="1">
      <alignment horizontal="left" vertical="center" wrapText="1"/>
      <protection locked="0"/>
    </xf>
    <xf numFmtId="180" fontId="27" fillId="0" borderId="9" xfId="0" applyNumberFormat="1" applyFont="1" applyBorder="1" applyAlignment="1">
      <alignment horizontal="center"/>
    </xf>
    <xf numFmtId="0" fontId="20" fillId="44" borderId="11" xfId="0" applyFont="1" applyFill="1" applyBorder="1" applyProtection="1">
      <protection locked="0"/>
    </xf>
    <xf numFmtId="0" fontId="20" fillId="43" borderId="19" xfId="0" applyFont="1" applyFill="1" applyBorder="1" applyProtection="1">
      <protection locked="0"/>
    </xf>
    <xf numFmtId="181" fontId="20" fillId="43" borderId="19" xfId="0" applyNumberFormat="1" applyFont="1" applyFill="1" applyBorder="1" applyProtection="1">
      <protection locked="0"/>
    </xf>
    <xf numFmtId="0" fontId="0" fillId="0" borderId="19" xfId="0" applyBorder="1"/>
    <xf numFmtId="0" fontId="20" fillId="43" borderId="20" xfId="0" applyFont="1" applyFill="1" applyBorder="1" applyProtection="1">
      <protection locked="0"/>
    </xf>
    <xf numFmtId="181" fontId="20" fillId="43" borderId="20" xfId="0" applyNumberFormat="1" applyFont="1" applyFill="1" applyBorder="1" applyProtection="1">
      <protection locked="0"/>
    </xf>
    <xf numFmtId="0" fontId="20" fillId="43" borderId="21" xfId="0" applyFont="1" applyFill="1" applyBorder="1" applyProtection="1">
      <protection locked="0"/>
    </xf>
    <xf numFmtId="0" fontId="20" fillId="43" borderId="22" xfId="0" applyFont="1" applyFill="1" applyBorder="1" applyProtection="1">
      <protection locked="0"/>
    </xf>
    <xf numFmtId="0" fontId="20" fillId="43" borderId="23" xfId="0" applyFont="1" applyFill="1" applyBorder="1" applyProtection="1">
      <protection locked="0"/>
    </xf>
    <xf numFmtId="0" fontId="28" fillId="43" borderId="24" xfId="0" applyFont="1" applyFill="1" applyBorder="1" applyProtection="1">
      <protection locked="0"/>
    </xf>
    <xf numFmtId="181" fontId="20" fillId="43" borderId="24" xfId="0" applyNumberFormat="1" applyFont="1" applyFill="1" applyBorder="1" applyProtection="1">
      <protection locked="0"/>
    </xf>
    <xf numFmtId="0" fontId="20" fillId="43" borderId="24" xfId="0" applyFont="1" applyFill="1" applyBorder="1" applyProtection="1">
      <protection locked="0"/>
    </xf>
    <xf numFmtId="0" fontId="0" fillId="0" borderId="24" xfId="0" applyBorder="1"/>
    <xf numFmtId="0" fontId="28" fillId="43" borderId="25" xfId="0" applyFont="1" applyFill="1" applyBorder="1" applyProtection="1">
      <protection locked="0"/>
    </xf>
    <xf numFmtId="0" fontId="29" fillId="38" borderId="9" xfId="0" applyFont="1" applyFill="1" applyBorder="1" applyAlignment="1" applyProtection="1">
      <alignment horizontal="left" indent="1" shrinkToFit="1"/>
      <protection locked="0"/>
    </xf>
    <xf numFmtId="0" fontId="29" fillId="2" borderId="9" xfId="0" applyFont="1" applyFill="1" applyBorder="1" applyAlignment="1" applyProtection="1">
      <alignment horizontal="left" indent="1" shrinkToFit="1"/>
      <protection locked="0"/>
    </xf>
    <xf numFmtId="0" fontId="29" fillId="6" borderId="9" xfId="0" applyFont="1" applyFill="1" applyBorder="1" applyAlignment="1" applyProtection="1">
      <alignment horizontal="left" indent="1" shrinkToFit="1"/>
      <protection locked="0"/>
    </xf>
    <xf numFmtId="0" fontId="29" fillId="41" borderId="9" xfId="0" applyFont="1" applyFill="1" applyBorder="1" applyAlignment="1" applyProtection="1">
      <alignment horizontal="left" indent="1" shrinkToFit="1"/>
      <protection locked="0"/>
    </xf>
    <xf numFmtId="0" fontId="29" fillId="43" borderId="20" xfId="0" applyFont="1" applyFill="1" applyBorder="1" applyAlignment="1" applyProtection="1">
      <alignment horizontal="left" indent="1" shrinkToFit="1"/>
      <protection locked="0"/>
    </xf>
    <xf numFmtId="0" fontId="28" fillId="43" borderId="24" xfId="0" applyFont="1" applyFill="1" applyBorder="1" applyAlignment="1" applyProtection="1">
      <alignment horizontal="left" indent="1" shrinkToFit="1"/>
      <protection locked="0"/>
    </xf>
    <xf numFmtId="9" fontId="20" fillId="38" borderId="9" xfId="2" applyFont="1" applyFill="1" applyBorder="1" applyAlignment="1" applyProtection="1">
      <alignment horizontal="center"/>
      <protection locked="0"/>
    </xf>
    <xf numFmtId="9" fontId="20" fillId="2" borderId="9" xfId="2" applyFont="1" applyFill="1" applyBorder="1" applyAlignment="1" applyProtection="1">
      <alignment horizontal="center"/>
      <protection locked="0"/>
    </xf>
    <xf numFmtId="9" fontId="20" fillId="3" borderId="9" xfId="2" applyFont="1" applyFill="1" applyBorder="1" applyAlignment="1" applyProtection="1">
      <alignment horizontal="center"/>
      <protection locked="0"/>
    </xf>
    <xf numFmtId="9" fontId="20" fillId="6" borderId="9" xfId="2" applyFont="1" applyFill="1" applyBorder="1" applyAlignment="1" applyProtection="1">
      <alignment horizontal="center"/>
      <protection locked="0"/>
    </xf>
    <xf numFmtId="9" fontId="20" fillId="41" borderId="9" xfId="2" applyFont="1" applyFill="1" applyBorder="1" applyAlignment="1" applyProtection="1">
      <alignment horizontal="center"/>
      <protection locked="0"/>
    </xf>
    <xf numFmtId="9" fontId="29" fillId="43" borderId="20" xfId="2" applyFont="1" applyFill="1" applyBorder="1" applyAlignment="1" applyProtection="1">
      <alignment horizontal="center"/>
      <protection locked="0"/>
    </xf>
    <xf numFmtId="9" fontId="20" fillId="43" borderId="19" xfId="2" applyFont="1" applyFill="1" applyBorder="1" applyAlignment="1" applyProtection="1">
      <alignment horizontal="center"/>
      <protection locked="0"/>
    </xf>
    <xf numFmtId="9" fontId="20" fillId="43" borderId="25" xfId="2" applyFont="1" applyFill="1" applyBorder="1" applyAlignment="1" applyProtection="1">
      <alignment horizontal="center"/>
      <protection locked="0"/>
    </xf>
    <xf numFmtId="0" fontId="30" fillId="2" borderId="9" xfId="0" applyFont="1" applyFill="1" applyBorder="1" applyAlignment="1" applyProtection="1">
      <alignment horizontal="left" indent="1" shrinkToFit="1"/>
      <protection locked="0"/>
    </xf>
    <xf numFmtId="14" fontId="20" fillId="0" borderId="9" xfId="0" applyNumberFormat="1" applyFont="1" applyBorder="1" applyAlignment="1">
      <alignment horizontal="center"/>
    </xf>
    <xf numFmtId="183" fontId="26" fillId="0" borderId="0" xfId="0" applyNumberFormat="1" applyFont="1" applyAlignment="1">
      <alignment horizontal="left" vertical="center"/>
    </xf>
    <xf numFmtId="0" fontId="20" fillId="0" borderId="0" xfId="0" applyFont="1" applyProtection="1">
      <protection locked="0"/>
    </xf>
    <xf numFmtId="0" fontId="20" fillId="0" borderId="0" xfId="0" applyFont="1" applyAlignment="1">
      <alignment horizontal="center"/>
    </xf>
    <xf numFmtId="182" fontId="1" fillId="0" borderId="0" xfId="9" applyNumberFormat="1" applyBorder="1" applyAlignment="1">
      <alignment horizontal="center"/>
    </xf>
    <xf numFmtId="183" fontId="23" fillId="0" borderId="0" xfId="9" applyNumberFormat="1" applyFont="1" applyBorder="1" applyAlignment="1">
      <alignment horizontal="left"/>
    </xf>
    <xf numFmtId="0" fontId="20" fillId="0" borderId="16" xfId="0" applyFont="1" applyBorder="1" applyAlignment="1">
      <alignment horizontal="center"/>
    </xf>
    <xf numFmtId="182" fontId="1" fillId="0" borderId="17" xfId="9" applyNumberFormat="1" applyBorder="1" applyAlignment="1">
      <alignment horizontal="center"/>
    </xf>
    <xf numFmtId="182" fontId="1" fillId="0" borderId="18" xfId="9" applyNumberFormat="1" applyBorder="1" applyAlignment="1">
      <alignment horizontal="center"/>
    </xf>
    <xf numFmtId="0" fontId="20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0" fillId="0" borderId="14" xfId="0" applyFont="1" applyBorder="1" applyAlignment="1">
      <alignment horizontal="center"/>
    </xf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 xr:uid="{26E66EE6-E33F-4D77-BAE4-0FB4F5BBF673}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 xr:uid="{6391D789-272B-4DD2-9BF3-2CDCF610FA41}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 xr:uid="{8EB8A09A-C31C-40A3-B2C1-9449520178B8}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 xr:uid="{229918B6-DD13-4F5A-97B9-305F7E002AA3}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 xr:uid="{B2D3C1EE-6B41-4801-AAFC-C2274E49E503}"/>
    <cellStyle name="良い" xfId="18" builtinId="26" customBuiltin="1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 xr9:uid="{00000000-0011-0000-FFFF-FFFF00000000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secondRowStripe" dxfId="5"/>
      <tableStyleElement type="firstColumnStripe" dxfId="4"/>
      <tableStyleElement type="secondColumn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000000"/>
      <color rgb="FF215881"/>
      <color rgb="FF42648A"/>
      <color rgb="FF969696"/>
      <color rgb="FFC0C0C0"/>
      <color rgb="FF427FC2"/>
      <color rgb="FF44678E"/>
      <color rgb="FF4A6F9C"/>
      <color rgb="FF396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19831-6452-4860-AA4E-9CFCE6764C52}">
  <sheetPr>
    <pageSetUpPr fitToPage="1"/>
  </sheetPr>
  <dimension ref="A1:CN40"/>
  <sheetViews>
    <sheetView topLeftCell="A20" workbookViewId="0">
      <pane xSplit="7" topLeftCell="H1" activePane="topRight" state="frozen"/>
      <selection pane="topRight" activeCell="B6" sqref="A1:XFD1048576"/>
    </sheetView>
  </sheetViews>
  <sheetFormatPr defaultColWidth="8.88671875" defaultRowHeight="18.75" x14ac:dyDescent="0.45"/>
  <cols>
    <col min="1" max="1" width="25.77734375" style="1" customWidth="1"/>
    <col min="2" max="2" width="11.6640625" style="1" customWidth="1"/>
    <col min="3" max="3" width="8.21875" style="2" customWidth="1"/>
    <col min="4" max="5" width="8.88671875" style="2" customWidth="1"/>
    <col min="6" max="6" width="8.88671875" style="1"/>
    <col min="7" max="7" width="8.88671875" style="1" customWidth="1"/>
    <col min="8" max="9" width="2.77734375" style="1" customWidth="1"/>
    <col min="10" max="10" width="2.6640625" style="1" customWidth="1"/>
    <col min="11" max="14" width="2.77734375" style="1" customWidth="1"/>
    <col min="15" max="15" width="2.6640625" style="1" customWidth="1"/>
    <col min="16" max="19" width="2.77734375" style="1" customWidth="1"/>
    <col min="20" max="20" width="2.6640625" style="1" customWidth="1"/>
    <col min="21" max="24" width="2.77734375" style="1" customWidth="1"/>
    <col min="25" max="25" width="2.6640625" style="1" customWidth="1"/>
    <col min="26" max="29" width="2.77734375" style="1" customWidth="1"/>
    <col min="30" max="30" width="2.6640625" style="1" customWidth="1"/>
    <col min="31" max="34" width="2.77734375" style="1" customWidth="1"/>
    <col min="35" max="35" width="2.6640625" style="1" customWidth="1"/>
    <col min="36" max="39" width="2.77734375" style="1" customWidth="1"/>
    <col min="40" max="40" width="2.6640625" style="1" customWidth="1"/>
    <col min="41" max="44" width="2.77734375" style="1" customWidth="1"/>
    <col min="45" max="45" width="2.6640625" style="1" customWidth="1"/>
    <col min="46" max="49" width="2.77734375" style="1" customWidth="1"/>
    <col min="50" max="50" width="2.6640625" style="1" customWidth="1"/>
    <col min="51" max="54" width="2.77734375" style="1" customWidth="1"/>
    <col min="55" max="55" width="2.6640625" style="1" customWidth="1"/>
    <col min="56" max="59" width="2.77734375" style="1" customWidth="1"/>
    <col min="60" max="60" width="2.6640625" style="1" customWidth="1"/>
    <col min="61" max="64" width="2.77734375" style="1" customWidth="1"/>
    <col min="65" max="65" width="2.6640625" style="1" customWidth="1"/>
    <col min="66" max="69" width="2.77734375" style="1" customWidth="1"/>
    <col min="70" max="70" width="2.6640625" style="1" customWidth="1"/>
    <col min="71" max="74" width="2.77734375" style="1" customWidth="1"/>
    <col min="75" max="75" width="2.6640625" style="1" customWidth="1"/>
    <col min="76" max="79" width="2.77734375" style="1" customWidth="1"/>
    <col min="80" max="80" width="2.6640625" style="1" customWidth="1"/>
    <col min="81" max="84" width="2.77734375" style="1" customWidth="1"/>
    <col min="85" max="85" width="2.6640625" style="1" customWidth="1"/>
    <col min="86" max="89" width="2.77734375" style="1" customWidth="1"/>
    <col min="90" max="90" width="2.6640625" style="1" customWidth="1"/>
    <col min="91" max="92" width="2.77734375" style="1" customWidth="1"/>
    <col min="93" max="16384" width="8.88671875" style="1"/>
  </cols>
  <sheetData>
    <row r="1" spans="1:92" ht="24" customHeight="1" x14ac:dyDescent="0.45">
      <c r="A1" s="67" t="s">
        <v>0</v>
      </c>
      <c r="D1" s="66" t="s">
        <v>1</v>
      </c>
      <c r="E1" s="115">
        <v>45761</v>
      </c>
      <c r="F1" s="115"/>
      <c r="G1" s="115"/>
    </row>
    <row r="2" spans="1:92" x14ac:dyDescent="0.45">
      <c r="A2" s="116" t="s">
        <v>2</v>
      </c>
      <c r="B2" s="116"/>
      <c r="C2" s="116"/>
      <c r="D2" s="116"/>
      <c r="E2" s="116"/>
      <c r="F2" s="116"/>
      <c r="G2" s="116"/>
      <c r="H2" s="83"/>
      <c r="I2" s="83"/>
      <c r="J2" s="83"/>
      <c r="K2" s="83"/>
      <c r="L2" s="83"/>
    </row>
    <row r="3" spans="1:92" x14ac:dyDescent="0.45">
      <c r="A3" s="116" t="s">
        <v>3</v>
      </c>
      <c r="B3" s="116"/>
      <c r="C3" s="116"/>
      <c r="D3" s="116"/>
      <c r="E3" s="116"/>
      <c r="F3" s="116"/>
      <c r="G3" s="116"/>
      <c r="H3" s="83"/>
      <c r="I3" s="83"/>
      <c r="J3" s="83"/>
      <c r="K3" s="83"/>
      <c r="L3" s="83"/>
    </row>
    <row r="4" spans="1:92" x14ac:dyDescent="0.45">
      <c r="A4" s="116" t="s">
        <v>4</v>
      </c>
      <c r="B4" s="116"/>
      <c r="C4" s="116"/>
      <c r="D4" s="116"/>
      <c r="E4" s="116"/>
      <c r="F4" s="116"/>
      <c r="G4" s="116"/>
      <c r="H4" s="83"/>
      <c r="I4" s="83"/>
      <c r="J4" s="83"/>
      <c r="K4" s="83"/>
      <c r="L4" s="83"/>
    </row>
    <row r="5" spans="1:92" ht="15" customHeight="1" x14ac:dyDescent="0.45">
      <c r="D5" s="117"/>
      <c r="E5" s="117"/>
      <c r="F5" s="118"/>
      <c r="G5" s="118"/>
      <c r="AU5" s="1" t="s">
        <v>5</v>
      </c>
      <c r="BO5" s="1" t="s">
        <v>6</v>
      </c>
      <c r="BX5" s="1" t="s">
        <v>7</v>
      </c>
    </row>
    <row r="6" spans="1:92" x14ac:dyDescent="0.45">
      <c r="A6" s="65"/>
      <c r="B6" s="119"/>
      <c r="C6" s="119"/>
      <c r="D6" s="120"/>
      <c r="E6" s="120"/>
      <c r="F6" s="121"/>
      <c r="G6" s="122"/>
      <c r="H6" s="114">
        <f>H7</f>
        <v>45761</v>
      </c>
      <c r="I6" s="114"/>
      <c r="J6" s="114"/>
      <c r="K6" s="114"/>
      <c r="L6" s="114"/>
      <c r="M6" s="114">
        <f>H6+7</f>
        <v>45768</v>
      </c>
      <c r="N6" s="114"/>
      <c r="O6" s="114"/>
      <c r="P6" s="114"/>
      <c r="Q6" s="114"/>
      <c r="R6" s="114">
        <f>M6+7</f>
        <v>45775</v>
      </c>
      <c r="S6" s="114"/>
      <c r="T6" s="114"/>
      <c r="U6" s="114"/>
      <c r="V6" s="114"/>
      <c r="W6" s="114">
        <f>R6+7</f>
        <v>45782</v>
      </c>
      <c r="X6" s="114"/>
      <c r="Y6" s="114"/>
      <c r="Z6" s="114"/>
      <c r="AA6" s="114"/>
      <c r="AB6" s="114">
        <f>W6+7</f>
        <v>45789</v>
      </c>
      <c r="AC6" s="114"/>
      <c r="AD6" s="114"/>
      <c r="AE6" s="114"/>
      <c r="AF6" s="114"/>
      <c r="AG6" s="114">
        <f>AB6+7</f>
        <v>45796</v>
      </c>
      <c r="AH6" s="114"/>
      <c r="AI6" s="114"/>
      <c r="AJ6" s="114"/>
      <c r="AK6" s="114"/>
      <c r="AL6" s="114">
        <f>AG6+7</f>
        <v>45803</v>
      </c>
      <c r="AM6" s="114"/>
      <c r="AN6" s="114"/>
      <c r="AO6" s="114"/>
      <c r="AP6" s="114"/>
      <c r="AQ6" s="114">
        <f>AL6+7</f>
        <v>45810</v>
      </c>
      <c r="AR6" s="114"/>
      <c r="AS6" s="114"/>
      <c r="AT6" s="114"/>
      <c r="AU6" s="114"/>
      <c r="AV6" s="114">
        <f>AQ6+7</f>
        <v>45817</v>
      </c>
      <c r="AW6" s="114"/>
      <c r="AX6" s="114"/>
      <c r="AY6" s="114"/>
      <c r="AZ6" s="114"/>
      <c r="BA6" s="114">
        <f>AV6+7</f>
        <v>45824</v>
      </c>
      <c r="BB6" s="114"/>
      <c r="BC6" s="114"/>
      <c r="BD6" s="114"/>
      <c r="BE6" s="114"/>
      <c r="BF6" s="114">
        <f>BA6+7</f>
        <v>45831</v>
      </c>
      <c r="BG6" s="114"/>
      <c r="BH6" s="114"/>
      <c r="BI6" s="114"/>
      <c r="BJ6" s="114"/>
      <c r="BK6" s="114">
        <f>BF6+7</f>
        <v>45838</v>
      </c>
      <c r="BL6" s="114"/>
      <c r="BM6" s="114"/>
      <c r="BN6" s="114"/>
      <c r="BO6" s="114"/>
      <c r="BP6" s="114">
        <f>BK6+7</f>
        <v>45845</v>
      </c>
      <c r="BQ6" s="114"/>
      <c r="BR6" s="114"/>
      <c r="BS6" s="114"/>
      <c r="BT6" s="114"/>
      <c r="BU6" s="114">
        <f>BP6+7</f>
        <v>45852</v>
      </c>
      <c r="BV6" s="114"/>
      <c r="BW6" s="114"/>
      <c r="BX6" s="114"/>
      <c r="BY6" s="114"/>
      <c r="BZ6" s="114">
        <f>BU6+7</f>
        <v>45859</v>
      </c>
      <c r="CA6" s="114"/>
      <c r="CB6" s="114"/>
      <c r="CC6" s="114"/>
      <c r="CD6" s="114"/>
      <c r="CE6" s="114">
        <f>BZ6+7</f>
        <v>45866</v>
      </c>
      <c r="CF6" s="114"/>
      <c r="CG6" s="114"/>
      <c r="CH6" s="114"/>
      <c r="CI6" s="114"/>
      <c r="CJ6" s="114">
        <f>CE6+7</f>
        <v>45873</v>
      </c>
      <c r="CK6" s="114"/>
      <c r="CL6" s="114"/>
      <c r="CM6" s="114"/>
      <c r="CN6" s="114"/>
    </row>
    <row r="7" spans="1:92" x14ac:dyDescent="0.45">
      <c r="A7" s="61"/>
      <c r="B7" s="61"/>
      <c r="C7" s="62"/>
      <c r="D7" s="123" t="s">
        <v>8</v>
      </c>
      <c r="E7" s="124"/>
      <c r="F7" s="125" t="s">
        <v>9</v>
      </c>
      <c r="G7" s="124"/>
      <c r="H7" s="63">
        <f>E1-WEEKDAY(E1,1)+2</f>
        <v>45761</v>
      </c>
      <c r="I7" s="63">
        <f>H7+1</f>
        <v>45762</v>
      </c>
      <c r="J7" s="63">
        <f t="shared" ref="J7:L7" si="0">I7+1</f>
        <v>45763</v>
      </c>
      <c r="K7" s="63">
        <f t="shared" si="0"/>
        <v>45764</v>
      </c>
      <c r="L7" s="63">
        <f t="shared" si="0"/>
        <v>45765</v>
      </c>
      <c r="M7" s="63">
        <f>M6</f>
        <v>45768</v>
      </c>
      <c r="N7" s="63">
        <f>M7+1</f>
        <v>45769</v>
      </c>
      <c r="O7" s="63">
        <f t="shared" ref="O7:Q7" si="1">N7+1</f>
        <v>45770</v>
      </c>
      <c r="P7" s="63">
        <f t="shared" si="1"/>
        <v>45771</v>
      </c>
      <c r="Q7" s="63">
        <f t="shared" si="1"/>
        <v>45772</v>
      </c>
      <c r="R7" s="63">
        <f>R6</f>
        <v>45775</v>
      </c>
      <c r="S7" s="63">
        <f>R7+1</f>
        <v>45776</v>
      </c>
      <c r="T7" s="63">
        <f t="shared" ref="T7:V7" si="2">S7+1</f>
        <v>45777</v>
      </c>
      <c r="U7" s="63">
        <f t="shared" si="2"/>
        <v>45778</v>
      </c>
      <c r="V7" s="63">
        <f t="shared" si="2"/>
        <v>45779</v>
      </c>
      <c r="W7" s="84">
        <f>W6</f>
        <v>45782</v>
      </c>
      <c r="X7" s="63">
        <f>W7+1</f>
        <v>45783</v>
      </c>
      <c r="Y7" s="63">
        <f t="shared" ref="Y7:AA7" si="3">X7+1</f>
        <v>45784</v>
      </c>
      <c r="Z7" s="63">
        <f t="shared" si="3"/>
        <v>45785</v>
      </c>
      <c r="AA7" s="84">
        <f t="shared" si="3"/>
        <v>45786</v>
      </c>
      <c r="AB7" s="84">
        <f>AB6</f>
        <v>45789</v>
      </c>
      <c r="AC7" s="63">
        <f>AB7+1</f>
        <v>45790</v>
      </c>
      <c r="AD7" s="63">
        <f t="shared" ref="AD7:AF7" si="4">AC7+1</f>
        <v>45791</v>
      </c>
      <c r="AE7" s="63">
        <f t="shared" si="4"/>
        <v>45792</v>
      </c>
      <c r="AF7" s="63">
        <f t="shared" si="4"/>
        <v>45793</v>
      </c>
      <c r="AG7" s="63">
        <f>AG6</f>
        <v>45796</v>
      </c>
      <c r="AH7" s="63">
        <f>AG7+1</f>
        <v>45797</v>
      </c>
      <c r="AI7" s="63">
        <f t="shared" ref="AI7:AK7" si="5">AH7+1</f>
        <v>45798</v>
      </c>
      <c r="AJ7" s="63">
        <f t="shared" si="5"/>
        <v>45799</v>
      </c>
      <c r="AK7" s="63">
        <f t="shared" si="5"/>
        <v>45800</v>
      </c>
      <c r="AL7" s="63">
        <f>AL6</f>
        <v>45803</v>
      </c>
      <c r="AM7" s="63">
        <f>AL7+1</f>
        <v>45804</v>
      </c>
      <c r="AN7" s="63">
        <f t="shared" ref="AN7:AP7" si="6">AM7+1</f>
        <v>45805</v>
      </c>
      <c r="AO7" s="63">
        <f t="shared" si="6"/>
        <v>45806</v>
      </c>
      <c r="AP7" s="63">
        <f t="shared" si="6"/>
        <v>45807</v>
      </c>
      <c r="AQ7" s="63">
        <f>AQ6</f>
        <v>45810</v>
      </c>
      <c r="AR7" s="63">
        <f>AQ7+1</f>
        <v>45811</v>
      </c>
      <c r="AS7" s="63">
        <f t="shared" ref="AS7:AU7" si="7">AR7+1</f>
        <v>45812</v>
      </c>
      <c r="AT7" s="63">
        <f t="shared" si="7"/>
        <v>45813</v>
      </c>
      <c r="AU7" s="63">
        <f t="shared" si="7"/>
        <v>45814</v>
      </c>
      <c r="AV7" s="63">
        <f>AV6</f>
        <v>45817</v>
      </c>
      <c r="AW7" s="63">
        <f>AV7+1</f>
        <v>45818</v>
      </c>
      <c r="AX7" s="63">
        <f t="shared" ref="AX7:AZ7" si="8">AW7+1</f>
        <v>45819</v>
      </c>
      <c r="AY7" s="63">
        <f t="shared" si="8"/>
        <v>45820</v>
      </c>
      <c r="AZ7" s="63">
        <f t="shared" si="8"/>
        <v>45821</v>
      </c>
      <c r="BA7" s="63">
        <f>BA6</f>
        <v>45824</v>
      </c>
      <c r="BB7" s="63">
        <f>BA7+1</f>
        <v>45825</v>
      </c>
      <c r="BC7" s="63">
        <f t="shared" ref="BC7:BE7" si="9">BB7+1</f>
        <v>45826</v>
      </c>
      <c r="BD7" s="63">
        <f t="shared" si="9"/>
        <v>45827</v>
      </c>
      <c r="BE7" s="63">
        <f t="shared" si="9"/>
        <v>45828</v>
      </c>
      <c r="BF7" s="63">
        <f>BF6</f>
        <v>45831</v>
      </c>
      <c r="BG7" s="63">
        <f>BF7+1</f>
        <v>45832</v>
      </c>
      <c r="BH7" s="63">
        <f t="shared" ref="BH7:BJ7" si="10">BG7+1</f>
        <v>45833</v>
      </c>
      <c r="BI7" s="63">
        <f t="shared" si="10"/>
        <v>45834</v>
      </c>
      <c r="BJ7" s="63">
        <f t="shared" si="10"/>
        <v>45835</v>
      </c>
      <c r="BK7" s="63">
        <f>BK6</f>
        <v>45838</v>
      </c>
      <c r="BL7" s="63">
        <f>BK7+1</f>
        <v>45839</v>
      </c>
      <c r="BM7" s="63">
        <f t="shared" ref="BM7:BO7" si="11">BL7+1</f>
        <v>45840</v>
      </c>
      <c r="BN7" s="63">
        <f t="shared" si="11"/>
        <v>45841</v>
      </c>
      <c r="BO7" s="63">
        <f t="shared" si="11"/>
        <v>45842</v>
      </c>
      <c r="BP7" s="63">
        <f>BP6</f>
        <v>45845</v>
      </c>
      <c r="BQ7" s="63">
        <f>BP7+1</f>
        <v>45846</v>
      </c>
      <c r="BR7" s="63">
        <f t="shared" ref="BR7:BT7" si="12">BQ7+1</f>
        <v>45847</v>
      </c>
      <c r="BS7" s="63">
        <f t="shared" si="12"/>
        <v>45848</v>
      </c>
      <c r="BT7" s="63">
        <f t="shared" si="12"/>
        <v>45849</v>
      </c>
      <c r="BU7" s="63">
        <f>BU6</f>
        <v>45852</v>
      </c>
      <c r="BV7" s="63">
        <f>BU7+1</f>
        <v>45853</v>
      </c>
      <c r="BW7" s="63">
        <f t="shared" ref="BW7:BY7" si="13">BV7+1</f>
        <v>45854</v>
      </c>
      <c r="BX7" s="63">
        <f t="shared" si="13"/>
        <v>45855</v>
      </c>
      <c r="BY7" s="63">
        <f t="shared" si="13"/>
        <v>45856</v>
      </c>
      <c r="BZ7" s="84">
        <f>BZ6</f>
        <v>45859</v>
      </c>
      <c r="CA7" s="63">
        <f>BZ7+1</f>
        <v>45860</v>
      </c>
      <c r="CB7" s="63">
        <f t="shared" ref="CB7:CD7" si="14">CA7+1</f>
        <v>45861</v>
      </c>
      <c r="CC7" s="63">
        <f t="shared" si="14"/>
        <v>45862</v>
      </c>
      <c r="CD7" s="63">
        <f t="shared" si="14"/>
        <v>45863</v>
      </c>
      <c r="CE7" s="63">
        <f>CE6</f>
        <v>45866</v>
      </c>
      <c r="CF7" s="63">
        <f>CE7+1</f>
        <v>45867</v>
      </c>
      <c r="CG7" s="63">
        <f t="shared" ref="CG7:CI7" si="15">CF7+1</f>
        <v>45868</v>
      </c>
      <c r="CH7" s="63">
        <f t="shared" si="15"/>
        <v>45869</v>
      </c>
      <c r="CI7" s="63">
        <f t="shared" si="15"/>
        <v>45870</v>
      </c>
      <c r="CJ7" s="63">
        <f>CJ6</f>
        <v>45873</v>
      </c>
      <c r="CK7" s="63">
        <f>CJ7+1</f>
        <v>45874</v>
      </c>
      <c r="CL7" s="63">
        <f t="shared" ref="CL7:CN7" si="16">CK7+1</f>
        <v>45875</v>
      </c>
      <c r="CM7" s="63">
        <f t="shared" si="16"/>
        <v>45876</v>
      </c>
      <c r="CN7" s="63">
        <f t="shared" si="16"/>
        <v>45877</v>
      </c>
    </row>
    <row r="8" spans="1:92" ht="19.5" customHeight="1" x14ac:dyDescent="0.45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24" customHeight="1" x14ac:dyDescent="0.45">
      <c r="A9" s="3" t="s">
        <v>20</v>
      </c>
      <c r="B9" s="4" t="s">
        <v>21</v>
      </c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24" customHeight="1" x14ac:dyDescent="0.45">
      <c r="A10" s="57" t="s">
        <v>22</v>
      </c>
      <c r="B10" s="10" t="s">
        <v>23</v>
      </c>
      <c r="C10" s="11">
        <v>100</v>
      </c>
      <c r="D10" s="12">
        <v>45778</v>
      </c>
      <c r="E10" s="12">
        <v>45785</v>
      </c>
      <c r="F10" s="12">
        <v>45778</v>
      </c>
      <c r="G10" s="12">
        <v>45781</v>
      </c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24" customHeight="1" x14ac:dyDescent="0.45">
      <c r="A11" s="57" t="s">
        <v>24</v>
      </c>
      <c r="B11" s="10" t="s">
        <v>25</v>
      </c>
      <c r="C11" s="11"/>
      <c r="D11" s="12"/>
      <c r="E11" s="12"/>
      <c r="F11" s="12"/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24" customHeight="1" x14ac:dyDescent="0.45">
      <c r="A12" s="57" t="s">
        <v>26</v>
      </c>
      <c r="B12" s="10" t="s">
        <v>23</v>
      </c>
      <c r="C12" s="11">
        <v>100</v>
      </c>
      <c r="D12" s="12">
        <v>45778</v>
      </c>
      <c r="E12" s="12">
        <v>45785</v>
      </c>
      <c r="F12" s="12">
        <v>45778</v>
      </c>
      <c r="G12" s="12">
        <v>45781</v>
      </c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24" customHeight="1" x14ac:dyDescent="0.45">
      <c r="A13" s="57" t="s">
        <v>27</v>
      </c>
      <c r="B13" s="10" t="s">
        <v>28</v>
      </c>
      <c r="C13" s="11">
        <v>0</v>
      </c>
      <c r="D13" s="12">
        <v>45784</v>
      </c>
      <c r="E13" s="12">
        <v>45788</v>
      </c>
      <c r="F13" s="12">
        <v>45784</v>
      </c>
      <c r="G13" s="12"/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24" customHeight="1" x14ac:dyDescent="0.45">
      <c r="A14" s="57" t="s">
        <v>29</v>
      </c>
      <c r="B14" s="10"/>
      <c r="C14" s="11"/>
      <c r="D14" s="12"/>
      <c r="E14" s="12"/>
      <c r="F14" s="12"/>
      <c r="G14" s="12"/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24" customHeight="1" x14ac:dyDescent="0.45">
      <c r="A15" s="16" t="s">
        <v>30</v>
      </c>
      <c r="B15" s="17" t="s">
        <v>21</v>
      </c>
      <c r="C15" s="18"/>
      <c r="D15" s="19"/>
      <c r="E15" s="19"/>
      <c r="F15" s="19"/>
      <c r="G15" s="19"/>
      <c r="H15" s="20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2"/>
    </row>
    <row r="16" spans="1:92" ht="24" customHeight="1" x14ac:dyDescent="0.45">
      <c r="A16" s="58" t="s">
        <v>31</v>
      </c>
      <c r="B16" s="23" t="s">
        <v>28</v>
      </c>
      <c r="C16" s="24">
        <v>20</v>
      </c>
      <c r="D16" s="25">
        <v>45779</v>
      </c>
      <c r="E16" s="25">
        <v>45783</v>
      </c>
      <c r="F16" s="25">
        <v>45779</v>
      </c>
      <c r="G16" s="25"/>
      <c r="H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8"/>
    </row>
    <row r="17" spans="1:92" ht="24" customHeight="1" x14ac:dyDescent="0.45">
      <c r="A17" s="58" t="s">
        <v>32</v>
      </c>
      <c r="B17" s="23" t="s">
        <v>28</v>
      </c>
      <c r="C17" s="24">
        <v>0</v>
      </c>
      <c r="D17" s="25">
        <v>45792</v>
      </c>
      <c r="E17" s="25">
        <v>45797</v>
      </c>
      <c r="F17" s="25"/>
      <c r="G17" s="25"/>
      <c r="H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8"/>
    </row>
    <row r="18" spans="1:92" ht="24" customHeight="1" x14ac:dyDescent="0.45">
      <c r="A18" s="58" t="s">
        <v>33</v>
      </c>
      <c r="B18" s="23"/>
      <c r="C18" s="24"/>
      <c r="D18" s="25"/>
      <c r="E18" s="25"/>
      <c r="F18" s="25"/>
      <c r="G18" s="25"/>
      <c r="H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8"/>
    </row>
    <row r="19" spans="1:92" ht="24" customHeight="1" x14ac:dyDescent="0.45">
      <c r="A19" s="58" t="s">
        <v>34</v>
      </c>
      <c r="B19" s="23"/>
      <c r="C19" s="24"/>
      <c r="D19" s="25"/>
      <c r="E19" s="25"/>
      <c r="F19" s="25"/>
      <c r="G19" s="25"/>
      <c r="H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8"/>
    </row>
    <row r="20" spans="1:92" ht="24" customHeight="1" x14ac:dyDescent="0.45">
      <c r="A20" s="58" t="s">
        <v>35</v>
      </c>
      <c r="B20" s="23"/>
      <c r="C20" s="24"/>
      <c r="D20" s="25"/>
      <c r="E20" s="25"/>
      <c r="F20" s="25"/>
      <c r="G20" s="25"/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24" customHeight="1" x14ac:dyDescent="0.45">
      <c r="A21" s="29" t="s">
        <v>36</v>
      </c>
      <c r="B21" s="30" t="s">
        <v>37</v>
      </c>
      <c r="C21" s="31"/>
      <c r="D21" s="32"/>
      <c r="E21" s="32"/>
      <c r="F21" s="32"/>
      <c r="G21" s="32"/>
      <c r="H21" s="33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5"/>
    </row>
    <row r="22" spans="1:92" ht="24" customHeight="1" x14ac:dyDescent="0.45">
      <c r="A22" s="59" t="s">
        <v>22</v>
      </c>
      <c r="B22" s="36" t="s">
        <v>25</v>
      </c>
      <c r="C22" s="37">
        <v>0</v>
      </c>
      <c r="D22" s="38">
        <v>45784</v>
      </c>
      <c r="E22" s="38"/>
      <c r="F22" s="38">
        <v>45784</v>
      </c>
      <c r="G22" s="38"/>
      <c r="H22" s="39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  <c r="CD22" s="40"/>
      <c r="CE22" s="40"/>
      <c r="CF22" s="40"/>
      <c r="CG22" s="40"/>
      <c r="CH22" s="40"/>
      <c r="CI22" s="40"/>
      <c r="CJ22" s="40"/>
      <c r="CK22" s="40"/>
      <c r="CL22" s="40"/>
      <c r="CM22" s="40"/>
      <c r="CN22" s="41"/>
    </row>
    <row r="23" spans="1:92" ht="24" customHeight="1" x14ac:dyDescent="0.45">
      <c r="A23" s="59" t="s">
        <v>27</v>
      </c>
      <c r="B23" s="36" t="s">
        <v>38</v>
      </c>
      <c r="C23" s="37">
        <v>0</v>
      </c>
      <c r="D23" s="38">
        <v>45789</v>
      </c>
      <c r="E23" s="38">
        <v>45795</v>
      </c>
      <c r="F23" s="38"/>
      <c r="G23" s="38"/>
      <c r="H23" s="39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1"/>
    </row>
    <row r="24" spans="1:92" ht="24" customHeight="1" x14ac:dyDescent="0.45">
      <c r="A24" s="59" t="s">
        <v>39</v>
      </c>
      <c r="B24" s="36"/>
      <c r="C24" s="37"/>
      <c r="D24" s="38"/>
      <c r="E24" s="38"/>
      <c r="F24" s="38"/>
      <c r="G24" s="38"/>
      <c r="H24" s="39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1"/>
    </row>
    <row r="25" spans="1:92" ht="24" customHeight="1" x14ac:dyDescent="0.45">
      <c r="A25" s="59" t="s">
        <v>40</v>
      </c>
      <c r="B25" s="36"/>
      <c r="C25" s="37"/>
      <c r="D25" s="38"/>
      <c r="E25" s="38"/>
      <c r="F25" s="38"/>
      <c r="G25" s="38"/>
      <c r="H25" s="39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1"/>
    </row>
    <row r="26" spans="1:92" ht="24" customHeight="1" x14ac:dyDescent="0.45">
      <c r="A26" s="59" t="s">
        <v>41</v>
      </c>
      <c r="B26" s="36"/>
      <c r="C26" s="37"/>
      <c r="D26" s="38"/>
      <c r="E26" s="38"/>
      <c r="F26" s="38"/>
      <c r="G26" s="38"/>
      <c r="H26" s="39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1"/>
    </row>
    <row r="27" spans="1:92" ht="24" customHeight="1" x14ac:dyDescent="0.45">
      <c r="A27" s="42" t="s">
        <v>42</v>
      </c>
      <c r="B27" s="43" t="s">
        <v>37</v>
      </c>
      <c r="C27" s="44"/>
      <c r="D27" s="45"/>
      <c r="E27" s="45"/>
      <c r="F27" s="45"/>
      <c r="G27" s="45"/>
      <c r="H27" s="46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47"/>
      <c r="AW27" s="47"/>
      <c r="AX27" s="47"/>
      <c r="AY27" s="47"/>
      <c r="AZ27" s="47"/>
      <c r="BA27" s="47"/>
      <c r="BB27" s="47"/>
      <c r="BC27" s="47"/>
      <c r="BD27" s="47"/>
      <c r="BE27" s="47"/>
      <c r="BF27" s="47"/>
      <c r="BG27" s="47"/>
      <c r="BH27" s="47"/>
      <c r="BI27" s="47"/>
      <c r="BJ27" s="47"/>
      <c r="BK27" s="47"/>
      <c r="BL27" s="47"/>
      <c r="BM27" s="47"/>
      <c r="BN27" s="47"/>
      <c r="BO27" s="47"/>
      <c r="BP27" s="47"/>
      <c r="BQ27" s="47"/>
      <c r="BR27" s="47"/>
      <c r="BS27" s="47"/>
      <c r="BT27" s="47"/>
      <c r="BU27" s="47"/>
      <c r="BV27" s="47"/>
      <c r="BW27" s="47"/>
      <c r="BX27" s="47"/>
      <c r="BY27" s="47"/>
      <c r="BZ27" s="47"/>
      <c r="CA27" s="47"/>
      <c r="CB27" s="47"/>
      <c r="CC27" s="47"/>
      <c r="CD27" s="47"/>
      <c r="CE27" s="47"/>
      <c r="CF27" s="47"/>
      <c r="CG27" s="47"/>
      <c r="CH27" s="47"/>
      <c r="CI27" s="47"/>
      <c r="CJ27" s="47"/>
      <c r="CK27" s="47"/>
      <c r="CL27" s="47"/>
      <c r="CM27" s="47"/>
      <c r="CN27" s="48"/>
    </row>
    <row r="28" spans="1:92" ht="24" customHeight="1" x14ac:dyDescent="0.45">
      <c r="A28" s="60" t="s">
        <v>43</v>
      </c>
      <c r="B28" s="49" t="s">
        <v>38</v>
      </c>
      <c r="C28" s="50">
        <v>80</v>
      </c>
      <c r="D28" s="51">
        <v>45779</v>
      </c>
      <c r="E28" s="51">
        <v>45783</v>
      </c>
      <c r="F28" s="51">
        <v>45779</v>
      </c>
      <c r="G28" s="51"/>
      <c r="H28" s="52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53"/>
      <c r="BJ28" s="53"/>
      <c r="BK28" s="53"/>
      <c r="BL28" s="53"/>
      <c r="BM28" s="53"/>
      <c r="BN28" s="53"/>
      <c r="BO28" s="53"/>
      <c r="BP28" s="53"/>
      <c r="BQ28" s="53"/>
      <c r="BR28" s="53"/>
      <c r="BS28" s="53"/>
      <c r="BT28" s="53"/>
      <c r="BU28" s="53"/>
      <c r="BV28" s="53"/>
      <c r="BW28" s="53"/>
      <c r="BX28" s="53"/>
      <c r="BY28" s="53"/>
      <c r="BZ28" s="53"/>
      <c r="CA28" s="53"/>
      <c r="CB28" s="53"/>
      <c r="CC28" s="53"/>
      <c r="CD28" s="53"/>
      <c r="CE28" s="53"/>
      <c r="CF28" s="53"/>
      <c r="CG28" s="53"/>
      <c r="CH28" s="53"/>
      <c r="CI28" s="53"/>
      <c r="CJ28" s="53"/>
      <c r="CK28" s="53"/>
      <c r="CL28" s="53"/>
      <c r="CM28" s="53"/>
      <c r="CN28" s="54"/>
    </row>
    <row r="29" spans="1:92" ht="24" customHeight="1" x14ac:dyDescent="0.45">
      <c r="A29" s="60" t="s">
        <v>44</v>
      </c>
      <c r="B29" s="49" t="s">
        <v>38</v>
      </c>
      <c r="C29" s="50">
        <v>0</v>
      </c>
      <c r="D29" s="51">
        <v>45786</v>
      </c>
      <c r="E29" s="51">
        <v>45788</v>
      </c>
      <c r="F29" s="51"/>
      <c r="G29" s="51"/>
      <c r="H29" s="52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4"/>
    </row>
    <row r="30" spans="1:92" ht="24" customHeight="1" x14ac:dyDescent="0.45">
      <c r="A30" s="60" t="s">
        <v>45</v>
      </c>
      <c r="B30" s="49" t="s">
        <v>28</v>
      </c>
      <c r="C30" s="50">
        <v>0</v>
      </c>
      <c r="D30" s="51">
        <v>45792</v>
      </c>
      <c r="E30" s="51">
        <v>45797</v>
      </c>
      <c r="F30" s="51"/>
      <c r="G30" s="51"/>
      <c r="H30" s="52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  <c r="BT30" s="53"/>
      <c r="BU30" s="53"/>
      <c r="BV30" s="53"/>
      <c r="BW30" s="53"/>
      <c r="BX30" s="53"/>
      <c r="BY30" s="53"/>
      <c r="BZ30" s="53"/>
      <c r="CA30" s="53"/>
      <c r="CB30" s="53"/>
      <c r="CC30" s="53"/>
      <c r="CD30" s="53"/>
      <c r="CE30" s="53"/>
      <c r="CF30" s="53"/>
      <c r="CG30" s="53"/>
      <c r="CH30" s="53"/>
      <c r="CI30" s="53"/>
      <c r="CJ30" s="53"/>
      <c r="CK30" s="53"/>
      <c r="CL30" s="53"/>
      <c r="CM30" s="53"/>
      <c r="CN30" s="54"/>
    </row>
    <row r="31" spans="1:92" ht="24" customHeight="1" x14ac:dyDescent="0.45">
      <c r="A31" s="60" t="s">
        <v>40</v>
      </c>
      <c r="B31" s="49"/>
      <c r="C31" s="50"/>
      <c r="D31" s="51"/>
      <c r="E31" s="51"/>
      <c r="F31" s="51"/>
      <c r="G31" s="51"/>
      <c r="H31" s="52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  <c r="BT31" s="53"/>
      <c r="BU31" s="53"/>
      <c r="BV31" s="53"/>
      <c r="BW31" s="53"/>
      <c r="BX31" s="53"/>
      <c r="BY31" s="53"/>
      <c r="BZ31" s="53"/>
      <c r="CA31" s="53"/>
      <c r="CB31" s="53"/>
      <c r="CC31" s="53"/>
      <c r="CD31" s="53"/>
      <c r="CE31" s="53"/>
      <c r="CF31" s="53"/>
      <c r="CG31" s="53"/>
      <c r="CH31" s="53"/>
      <c r="CI31" s="53"/>
      <c r="CJ31" s="53"/>
      <c r="CK31" s="53"/>
      <c r="CL31" s="53"/>
      <c r="CM31" s="53"/>
      <c r="CN31" s="54"/>
    </row>
    <row r="32" spans="1:92" ht="24" customHeight="1" x14ac:dyDescent="0.45">
      <c r="A32" s="60" t="s">
        <v>41</v>
      </c>
      <c r="B32" s="49"/>
      <c r="C32" s="50"/>
      <c r="D32" s="51"/>
      <c r="E32" s="51"/>
      <c r="F32" s="51"/>
      <c r="G32" s="51"/>
      <c r="H32" s="52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4"/>
    </row>
    <row r="33" spans="1:92" ht="24" customHeight="1" x14ac:dyDescent="0.45">
      <c r="A33" s="69" t="s">
        <v>46</v>
      </c>
      <c r="B33" s="70"/>
      <c r="C33" s="71"/>
      <c r="D33" s="72"/>
      <c r="E33" s="72"/>
      <c r="F33" s="72"/>
      <c r="G33" s="72"/>
      <c r="H33" s="73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74"/>
      <c r="BE33" s="74"/>
      <c r="BF33" s="74"/>
      <c r="BG33" s="74"/>
      <c r="BH33" s="74"/>
      <c r="BI33" s="74"/>
      <c r="BJ33" s="74"/>
      <c r="BK33" s="74"/>
      <c r="BL33" s="74"/>
      <c r="BM33" s="74"/>
      <c r="BN33" s="74"/>
      <c r="BO33" s="74"/>
      <c r="BP33" s="74"/>
      <c r="BQ33" s="74"/>
      <c r="BR33" s="74"/>
      <c r="BS33" s="74"/>
      <c r="BT33" s="74"/>
      <c r="BU33" s="74"/>
      <c r="BV33" s="74"/>
      <c r="BW33" s="74"/>
      <c r="BX33" s="74"/>
      <c r="BY33" s="74"/>
      <c r="BZ33" s="74"/>
      <c r="CA33" s="74"/>
      <c r="CB33" s="74"/>
      <c r="CC33" s="74"/>
      <c r="CD33" s="74"/>
      <c r="CE33" s="74"/>
      <c r="CF33" s="74"/>
      <c r="CG33" s="74"/>
      <c r="CH33" s="74"/>
      <c r="CI33" s="74"/>
      <c r="CJ33" s="74"/>
      <c r="CK33" s="74"/>
      <c r="CL33" s="74"/>
      <c r="CM33" s="74"/>
      <c r="CN33" s="75"/>
    </row>
    <row r="34" spans="1:92" ht="24" customHeight="1" x14ac:dyDescent="0.45">
      <c r="A34" s="76" t="s">
        <v>47</v>
      </c>
      <c r="B34" s="77"/>
      <c r="C34" s="78"/>
      <c r="D34" s="79"/>
      <c r="E34" s="79"/>
      <c r="F34" s="79"/>
      <c r="G34" s="79"/>
      <c r="H34" s="80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81"/>
      <c r="BQ34" s="81"/>
      <c r="BR34" s="81"/>
      <c r="BS34" s="81"/>
      <c r="BT34" s="81"/>
      <c r="BU34" s="81"/>
      <c r="BV34" s="81"/>
      <c r="BW34" s="81"/>
      <c r="BX34" s="81"/>
      <c r="BY34" s="81"/>
      <c r="BZ34" s="81"/>
      <c r="CA34" s="81"/>
      <c r="CB34" s="81"/>
      <c r="CC34" s="81"/>
      <c r="CD34" s="81"/>
      <c r="CE34" s="81"/>
      <c r="CF34" s="81"/>
      <c r="CG34" s="81"/>
      <c r="CH34" s="81"/>
      <c r="CI34" s="81"/>
      <c r="CJ34" s="81"/>
      <c r="CK34" s="81"/>
      <c r="CL34" s="81"/>
      <c r="CM34" s="81"/>
      <c r="CN34" s="82"/>
    </row>
    <row r="35" spans="1:92" ht="15" customHeight="1" x14ac:dyDescent="0.45"/>
    <row r="36" spans="1:92" ht="19.5" customHeight="1" x14ac:dyDescent="0.45">
      <c r="A36" s="68" t="s">
        <v>48</v>
      </c>
      <c r="B36" s="55"/>
      <c r="C36" s="56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</row>
    <row r="37" spans="1:92" ht="24" customHeight="1" x14ac:dyDescent="0.45"/>
    <row r="38" spans="1:92" ht="24" customHeight="1" x14ac:dyDescent="0.45"/>
    <row r="39" spans="1:92" ht="24" customHeight="1" x14ac:dyDescent="0.45"/>
    <row r="40" spans="1:92" ht="24" customHeight="1" x14ac:dyDescent="0.45"/>
  </sheetData>
  <sheetProtection password="DF87" sheet="1" insertRows="0"/>
  <mergeCells count="28">
    <mergeCell ref="E1:G1"/>
    <mergeCell ref="AG6:AK6"/>
    <mergeCell ref="AL6:AP6"/>
    <mergeCell ref="A2:G2"/>
    <mergeCell ref="A3:G3"/>
    <mergeCell ref="A4:G4"/>
    <mergeCell ref="D6:E6"/>
    <mergeCell ref="F6:G6"/>
    <mergeCell ref="H6:L6"/>
    <mergeCell ref="D5:E5"/>
    <mergeCell ref="F5:G5"/>
    <mergeCell ref="B6:C6"/>
    <mergeCell ref="BU6:BY6"/>
    <mergeCell ref="BZ6:CD6"/>
    <mergeCell ref="CE6:CI6"/>
    <mergeCell ref="CJ6:CN6"/>
    <mergeCell ref="D7:E7"/>
    <mergeCell ref="F7:G7"/>
    <mergeCell ref="AQ6:AU6"/>
    <mergeCell ref="AV6:AZ6"/>
    <mergeCell ref="BA6:BE6"/>
    <mergeCell ref="BF6:BJ6"/>
    <mergeCell ref="BK6:BO6"/>
    <mergeCell ref="BP6:BT6"/>
    <mergeCell ref="M6:Q6"/>
    <mergeCell ref="R6:V6"/>
    <mergeCell ref="W6:AA6"/>
    <mergeCell ref="AB6:AF6"/>
  </mergeCells>
  <phoneticPr fontId="19"/>
  <conditionalFormatting sqref="F9:G34">
    <cfRule type="expression" dxfId="2" priority="1">
      <formula>D9&lt;F9</formula>
    </cfRule>
  </conditionalFormatting>
  <pageMargins left="0.51181102362204722" right="0.27559055118110237" top="0.27559055118110237" bottom="0.19685039370078741" header="0.23622047244094491" footer="7.874015748031496E-2"/>
  <pageSetup paperSize="8" scale="5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FAE6-9868-4881-B6EC-EAF3A31AE300}">
  <dimension ref="A1:CN40"/>
  <sheetViews>
    <sheetView workbookViewId="0">
      <selection activeCell="F21" sqref="F21"/>
    </sheetView>
  </sheetViews>
  <sheetFormatPr defaultColWidth="8.88671875" defaultRowHeight="18.75" customHeight="1" x14ac:dyDescent="0.45"/>
  <cols>
    <col min="1" max="1" width="25.77734375" style="1" customWidth="1"/>
    <col min="2" max="2" width="11.6640625" style="1" customWidth="1"/>
    <col min="3" max="3" width="8.21875" style="2" customWidth="1"/>
    <col min="4" max="5" width="8.88671875" style="2" customWidth="1"/>
    <col min="6" max="6" width="8.88671875" style="1"/>
    <col min="7" max="7" width="8.88671875" style="1" customWidth="1"/>
    <col min="8" max="9" width="2.77734375" style="1" customWidth="1"/>
    <col min="10" max="10" width="2.6640625" style="1" customWidth="1"/>
    <col min="11" max="14" width="2.77734375" style="1" customWidth="1"/>
    <col min="15" max="15" width="2.6640625" style="1" customWidth="1"/>
    <col min="16" max="19" width="2.77734375" style="1" customWidth="1"/>
    <col min="20" max="20" width="2.6640625" style="1" customWidth="1"/>
    <col min="21" max="24" width="2.77734375" style="1" customWidth="1"/>
    <col min="25" max="25" width="2.6640625" style="1" customWidth="1"/>
    <col min="26" max="29" width="2.77734375" style="1" customWidth="1"/>
    <col min="30" max="30" width="2.6640625" style="1" customWidth="1"/>
    <col min="31" max="34" width="2.77734375" style="1" customWidth="1"/>
    <col min="35" max="35" width="2.6640625" style="1" customWidth="1"/>
    <col min="36" max="39" width="2.77734375" style="1" customWidth="1"/>
    <col min="40" max="40" width="2.6640625" style="1" customWidth="1"/>
    <col min="41" max="44" width="2.77734375" style="1" customWidth="1"/>
    <col min="45" max="45" width="2.6640625" style="1" customWidth="1"/>
    <col min="46" max="49" width="2.77734375" style="1" customWidth="1"/>
    <col min="50" max="50" width="2.6640625" style="1" customWidth="1"/>
    <col min="51" max="54" width="2.77734375" style="1" customWidth="1"/>
    <col min="55" max="55" width="2.6640625" style="1" customWidth="1"/>
    <col min="56" max="59" width="2.77734375" style="1" customWidth="1"/>
    <col min="60" max="60" width="2.6640625" style="1" customWidth="1"/>
    <col min="61" max="64" width="2.77734375" style="1" customWidth="1"/>
    <col min="65" max="65" width="2.6640625" style="1" customWidth="1"/>
    <col min="66" max="69" width="2.77734375" style="1" customWidth="1"/>
    <col min="70" max="70" width="2.6640625" style="1" customWidth="1"/>
    <col min="71" max="74" width="2.77734375" style="1" customWidth="1"/>
    <col min="75" max="75" width="2.6640625" style="1" customWidth="1"/>
    <col min="76" max="79" width="2.77734375" style="1" customWidth="1"/>
    <col min="80" max="80" width="2.6640625" style="1" customWidth="1"/>
    <col min="81" max="84" width="2.77734375" style="1" customWidth="1"/>
    <col min="85" max="85" width="2.6640625" style="1" customWidth="1"/>
    <col min="86" max="89" width="2.77734375" style="1" customWidth="1"/>
    <col min="90" max="90" width="2.6640625" style="1" customWidth="1"/>
    <col min="91" max="92" width="2.77734375" style="1" customWidth="1"/>
    <col min="93" max="16384" width="8.88671875" style="1"/>
  </cols>
  <sheetData>
    <row r="1" spans="1:92" ht="27.75" customHeight="1" x14ac:dyDescent="0.45">
      <c r="A1" s="67" t="s">
        <v>0</v>
      </c>
      <c r="D1" s="66" t="s">
        <v>1</v>
      </c>
      <c r="E1" s="115">
        <v>45761</v>
      </c>
      <c r="F1" s="115"/>
      <c r="G1" s="115"/>
    </row>
    <row r="2" spans="1:92" ht="17.45" customHeight="1" x14ac:dyDescent="0.45">
      <c r="A2" s="116" t="s">
        <v>2</v>
      </c>
      <c r="B2" s="116"/>
      <c r="C2" s="116"/>
      <c r="D2" s="116"/>
      <c r="E2" s="116"/>
      <c r="F2" s="116"/>
      <c r="G2" s="116"/>
      <c r="H2" s="83"/>
      <c r="I2" s="83"/>
      <c r="J2" s="83"/>
      <c r="K2" s="83"/>
      <c r="L2" s="83"/>
    </row>
    <row r="3" spans="1:92" ht="17.45" customHeight="1" x14ac:dyDescent="0.45">
      <c r="A3" s="116" t="s">
        <v>3</v>
      </c>
      <c r="B3" s="116"/>
      <c r="C3" s="116"/>
      <c r="D3" s="116"/>
      <c r="E3" s="116"/>
      <c r="F3" s="116"/>
      <c r="G3" s="116"/>
      <c r="H3" s="83"/>
      <c r="I3" s="83"/>
      <c r="J3" s="83"/>
      <c r="K3" s="83"/>
      <c r="L3" s="83"/>
    </row>
    <row r="4" spans="1:92" ht="17.45" customHeight="1" x14ac:dyDescent="0.45">
      <c r="A4" s="116" t="s">
        <v>4</v>
      </c>
      <c r="B4" s="116"/>
      <c r="C4" s="116"/>
      <c r="D4" s="116"/>
      <c r="E4" s="116"/>
      <c r="F4" s="116"/>
      <c r="G4" s="116"/>
      <c r="H4" s="83"/>
      <c r="I4" s="83"/>
      <c r="J4" s="83"/>
      <c r="K4" s="83"/>
      <c r="L4" s="83"/>
    </row>
    <row r="5" spans="1:92" ht="18.75" customHeight="1" x14ac:dyDescent="0.45">
      <c r="D5" s="117"/>
      <c r="E5" s="117"/>
      <c r="F5" s="118"/>
      <c r="G5" s="118"/>
      <c r="AU5" s="1" t="s">
        <v>5</v>
      </c>
      <c r="BO5" s="1" t="s">
        <v>6</v>
      </c>
      <c r="BX5" s="1" t="s">
        <v>7</v>
      </c>
    </row>
    <row r="6" spans="1:92" ht="17.45" customHeight="1" x14ac:dyDescent="0.45">
      <c r="A6" s="65"/>
      <c r="B6" s="119"/>
      <c r="C6" s="119"/>
      <c r="D6" s="120"/>
      <c r="E6" s="120"/>
      <c r="F6" s="121"/>
      <c r="G6" s="122"/>
      <c r="H6" s="114">
        <f>H7</f>
        <v>45761</v>
      </c>
      <c r="I6" s="114"/>
      <c r="J6" s="114"/>
      <c r="K6" s="114"/>
      <c r="L6" s="114"/>
      <c r="M6" s="114">
        <f>H6+7</f>
        <v>45768</v>
      </c>
      <c r="N6" s="114"/>
      <c r="O6" s="114"/>
      <c r="P6" s="114"/>
      <c r="Q6" s="114"/>
      <c r="R6" s="114">
        <f>M6+7</f>
        <v>45775</v>
      </c>
      <c r="S6" s="114"/>
      <c r="T6" s="114"/>
      <c r="U6" s="114"/>
      <c r="V6" s="114"/>
      <c r="W6" s="114">
        <f>R6+7</f>
        <v>45782</v>
      </c>
      <c r="X6" s="114"/>
      <c r="Y6" s="114"/>
      <c r="Z6" s="114"/>
      <c r="AA6" s="114"/>
      <c r="AB6" s="114">
        <f>W6+7</f>
        <v>45789</v>
      </c>
      <c r="AC6" s="114"/>
      <c r="AD6" s="114"/>
      <c r="AE6" s="114"/>
      <c r="AF6" s="114"/>
      <c r="AG6" s="114">
        <f>AB6+7</f>
        <v>45796</v>
      </c>
      <c r="AH6" s="114"/>
      <c r="AI6" s="114"/>
      <c r="AJ6" s="114"/>
      <c r="AK6" s="114"/>
      <c r="AL6" s="114">
        <f>AG6+7</f>
        <v>45803</v>
      </c>
      <c r="AM6" s="114"/>
      <c r="AN6" s="114"/>
      <c r="AO6" s="114"/>
      <c r="AP6" s="114"/>
      <c r="AQ6" s="114">
        <f>AL6+7</f>
        <v>45810</v>
      </c>
      <c r="AR6" s="114"/>
      <c r="AS6" s="114"/>
      <c r="AT6" s="114"/>
      <c r="AU6" s="114"/>
      <c r="AV6" s="114">
        <f>AQ6+7</f>
        <v>45817</v>
      </c>
      <c r="AW6" s="114"/>
      <c r="AX6" s="114"/>
      <c r="AY6" s="114"/>
      <c r="AZ6" s="114"/>
      <c r="BA6" s="114">
        <f>AV6+7</f>
        <v>45824</v>
      </c>
      <c r="BB6" s="114"/>
      <c r="BC6" s="114"/>
      <c r="BD6" s="114"/>
      <c r="BE6" s="114"/>
      <c r="BF6" s="114">
        <f>BA6+7</f>
        <v>45831</v>
      </c>
      <c r="BG6" s="114"/>
      <c r="BH6" s="114"/>
      <c r="BI6" s="114"/>
      <c r="BJ6" s="114"/>
      <c r="BK6" s="114">
        <f>BF6+7</f>
        <v>45838</v>
      </c>
      <c r="BL6" s="114"/>
      <c r="BM6" s="114"/>
      <c r="BN6" s="114"/>
      <c r="BO6" s="114"/>
      <c r="BP6" s="114">
        <f>BK6+7</f>
        <v>45845</v>
      </c>
      <c r="BQ6" s="114"/>
      <c r="BR6" s="114"/>
      <c r="BS6" s="114"/>
      <c r="BT6" s="114"/>
      <c r="BU6" s="114">
        <f>BP6+7</f>
        <v>45852</v>
      </c>
      <c r="BV6" s="114"/>
      <c r="BW6" s="114"/>
      <c r="BX6" s="114"/>
      <c r="BY6" s="114"/>
      <c r="BZ6" s="114">
        <f>BU6+7</f>
        <v>45859</v>
      </c>
      <c r="CA6" s="114"/>
      <c r="CB6" s="114"/>
      <c r="CC6" s="114"/>
      <c r="CD6" s="114"/>
      <c r="CE6" s="114">
        <f>BZ6+7</f>
        <v>45866</v>
      </c>
      <c r="CF6" s="114"/>
      <c r="CG6" s="114"/>
      <c r="CH6" s="114"/>
      <c r="CI6" s="114"/>
      <c r="CJ6" s="114">
        <f>CE6+7</f>
        <v>45873</v>
      </c>
      <c r="CK6" s="114"/>
      <c r="CL6" s="114"/>
      <c r="CM6" s="114"/>
      <c r="CN6" s="114"/>
    </row>
    <row r="7" spans="1:92" ht="17.45" customHeight="1" x14ac:dyDescent="0.45">
      <c r="A7" s="61"/>
      <c r="B7" s="61"/>
      <c r="C7" s="62"/>
      <c r="D7" s="123" t="s">
        <v>8</v>
      </c>
      <c r="E7" s="124"/>
      <c r="F7" s="125" t="s">
        <v>9</v>
      </c>
      <c r="G7" s="124"/>
      <c r="H7" s="63">
        <f>E1-WEEKDAY(E1,1)+2</f>
        <v>45761</v>
      </c>
      <c r="I7" s="63">
        <f>H7+1</f>
        <v>45762</v>
      </c>
      <c r="J7" s="63">
        <f t="shared" ref="J7:L7" si="0">I7+1</f>
        <v>45763</v>
      </c>
      <c r="K7" s="63">
        <f t="shared" si="0"/>
        <v>45764</v>
      </c>
      <c r="L7" s="63">
        <f t="shared" si="0"/>
        <v>45765</v>
      </c>
      <c r="M7" s="63">
        <f>M6</f>
        <v>45768</v>
      </c>
      <c r="N7" s="63">
        <f>M7+1</f>
        <v>45769</v>
      </c>
      <c r="O7" s="63">
        <f t="shared" ref="O7:Q7" si="1">N7+1</f>
        <v>45770</v>
      </c>
      <c r="P7" s="63">
        <f t="shared" si="1"/>
        <v>45771</v>
      </c>
      <c r="Q7" s="63">
        <f t="shared" si="1"/>
        <v>45772</v>
      </c>
      <c r="R7" s="63">
        <f>R6</f>
        <v>45775</v>
      </c>
      <c r="S7" s="63">
        <f>R7+1</f>
        <v>45776</v>
      </c>
      <c r="T7" s="63">
        <f t="shared" ref="T7:V7" si="2">S7+1</f>
        <v>45777</v>
      </c>
      <c r="U7" s="63">
        <f t="shared" si="2"/>
        <v>45778</v>
      </c>
      <c r="V7" s="63">
        <f t="shared" si="2"/>
        <v>45779</v>
      </c>
      <c r="W7" s="84">
        <f>W6</f>
        <v>45782</v>
      </c>
      <c r="X7" s="63">
        <f>W7+1</f>
        <v>45783</v>
      </c>
      <c r="Y7" s="63">
        <f t="shared" ref="Y7:AA7" si="3">X7+1</f>
        <v>45784</v>
      </c>
      <c r="Z7" s="63">
        <f t="shared" si="3"/>
        <v>45785</v>
      </c>
      <c r="AA7" s="84">
        <f t="shared" si="3"/>
        <v>45786</v>
      </c>
      <c r="AB7" s="84">
        <f>AB6</f>
        <v>45789</v>
      </c>
      <c r="AC7" s="63">
        <f>AB7+1</f>
        <v>45790</v>
      </c>
      <c r="AD7" s="63">
        <f t="shared" ref="AD7:AF7" si="4">AC7+1</f>
        <v>45791</v>
      </c>
      <c r="AE7" s="63">
        <f t="shared" si="4"/>
        <v>45792</v>
      </c>
      <c r="AF7" s="63">
        <f t="shared" si="4"/>
        <v>45793</v>
      </c>
      <c r="AG7" s="63">
        <f>AG6</f>
        <v>45796</v>
      </c>
      <c r="AH7" s="63">
        <f>AG7+1</f>
        <v>45797</v>
      </c>
      <c r="AI7" s="63">
        <f t="shared" ref="AI7:AK7" si="5">AH7+1</f>
        <v>45798</v>
      </c>
      <c r="AJ7" s="63">
        <f t="shared" si="5"/>
        <v>45799</v>
      </c>
      <c r="AK7" s="63">
        <f t="shared" si="5"/>
        <v>45800</v>
      </c>
      <c r="AL7" s="63">
        <f>AL6</f>
        <v>45803</v>
      </c>
      <c r="AM7" s="63">
        <f>AL7+1</f>
        <v>45804</v>
      </c>
      <c r="AN7" s="63">
        <f t="shared" ref="AN7:AP7" si="6">AM7+1</f>
        <v>45805</v>
      </c>
      <c r="AO7" s="63">
        <f t="shared" si="6"/>
        <v>45806</v>
      </c>
      <c r="AP7" s="63">
        <f t="shared" si="6"/>
        <v>45807</v>
      </c>
      <c r="AQ7" s="63">
        <f>AQ6</f>
        <v>45810</v>
      </c>
      <c r="AR7" s="63">
        <f>AQ7+1</f>
        <v>45811</v>
      </c>
      <c r="AS7" s="63">
        <f t="shared" ref="AS7:AU7" si="7">AR7+1</f>
        <v>45812</v>
      </c>
      <c r="AT7" s="63">
        <f t="shared" si="7"/>
        <v>45813</v>
      </c>
      <c r="AU7" s="63">
        <f t="shared" si="7"/>
        <v>45814</v>
      </c>
      <c r="AV7" s="63">
        <f>AV6</f>
        <v>45817</v>
      </c>
      <c r="AW7" s="63">
        <f>AV7+1</f>
        <v>45818</v>
      </c>
      <c r="AX7" s="63">
        <f t="shared" ref="AX7:AZ7" si="8">AW7+1</f>
        <v>45819</v>
      </c>
      <c r="AY7" s="63">
        <f t="shared" si="8"/>
        <v>45820</v>
      </c>
      <c r="AZ7" s="63">
        <f t="shared" si="8"/>
        <v>45821</v>
      </c>
      <c r="BA7" s="63">
        <f>BA6</f>
        <v>45824</v>
      </c>
      <c r="BB7" s="63">
        <f>BA7+1</f>
        <v>45825</v>
      </c>
      <c r="BC7" s="63">
        <f t="shared" ref="BC7:BE7" si="9">BB7+1</f>
        <v>45826</v>
      </c>
      <c r="BD7" s="63">
        <f t="shared" si="9"/>
        <v>45827</v>
      </c>
      <c r="BE7" s="63">
        <f t="shared" si="9"/>
        <v>45828</v>
      </c>
      <c r="BF7" s="63">
        <f>BF6</f>
        <v>45831</v>
      </c>
      <c r="BG7" s="63">
        <f>BF7+1</f>
        <v>45832</v>
      </c>
      <c r="BH7" s="63">
        <f t="shared" ref="BH7:BJ7" si="10">BG7+1</f>
        <v>45833</v>
      </c>
      <c r="BI7" s="63">
        <f t="shared" si="10"/>
        <v>45834</v>
      </c>
      <c r="BJ7" s="63">
        <f t="shared" si="10"/>
        <v>45835</v>
      </c>
      <c r="BK7" s="63">
        <f>BK6</f>
        <v>45838</v>
      </c>
      <c r="BL7" s="63">
        <f>BK7+1</f>
        <v>45839</v>
      </c>
      <c r="BM7" s="63">
        <f t="shared" ref="BM7:BO7" si="11">BL7+1</f>
        <v>45840</v>
      </c>
      <c r="BN7" s="63">
        <f t="shared" si="11"/>
        <v>45841</v>
      </c>
      <c r="BO7" s="63">
        <f t="shared" si="11"/>
        <v>45842</v>
      </c>
      <c r="BP7" s="63">
        <f>BP6</f>
        <v>45845</v>
      </c>
      <c r="BQ7" s="63">
        <f>BP7+1</f>
        <v>45846</v>
      </c>
      <c r="BR7" s="63">
        <f t="shared" ref="BR7:BT7" si="12">BQ7+1</f>
        <v>45847</v>
      </c>
      <c r="BS7" s="63">
        <f t="shared" si="12"/>
        <v>45848</v>
      </c>
      <c r="BT7" s="63">
        <f t="shared" si="12"/>
        <v>45849</v>
      </c>
      <c r="BU7" s="63">
        <f>BU6</f>
        <v>45852</v>
      </c>
      <c r="BV7" s="63">
        <f>BU7+1</f>
        <v>45853</v>
      </c>
      <c r="BW7" s="63">
        <f t="shared" ref="BW7:BY7" si="13">BV7+1</f>
        <v>45854</v>
      </c>
      <c r="BX7" s="63">
        <f t="shared" si="13"/>
        <v>45855</v>
      </c>
      <c r="BY7" s="63">
        <f t="shared" si="13"/>
        <v>45856</v>
      </c>
      <c r="BZ7" s="84">
        <f>BZ6</f>
        <v>45859</v>
      </c>
      <c r="CA7" s="63">
        <f>BZ7+1</f>
        <v>45860</v>
      </c>
      <c r="CB7" s="63">
        <f t="shared" ref="CB7:CD7" si="14">CA7+1</f>
        <v>45861</v>
      </c>
      <c r="CC7" s="63">
        <f t="shared" si="14"/>
        <v>45862</v>
      </c>
      <c r="CD7" s="63">
        <f t="shared" si="14"/>
        <v>45863</v>
      </c>
      <c r="CE7" s="63">
        <f>CE6</f>
        <v>45866</v>
      </c>
      <c r="CF7" s="63">
        <f>CE7+1</f>
        <v>45867</v>
      </c>
      <c r="CG7" s="63">
        <f t="shared" ref="CG7:CI7" si="15">CF7+1</f>
        <v>45868</v>
      </c>
      <c r="CH7" s="63">
        <f t="shared" si="15"/>
        <v>45869</v>
      </c>
      <c r="CI7" s="63">
        <f t="shared" si="15"/>
        <v>45870</v>
      </c>
      <c r="CJ7" s="63">
        <f>CJ6</f>
        <v>45873</v>
      </c>
      <c r="CK7" s="63">
        <f>CJ7+1</f>
        <v>45874</v>
      </c>
      <c r="CL7" s="63">
        <f t="shared" ref="CL7:CN7" si="16">CK7+1</f>
        <v>45875</v>
      </c>
      <c r="CM7" s="63">
        <f t="shared" si="16"/>
        <v>45876</v>
      </c>
      <c r="CN7" s="63">
        <f t="shared" si="16"/>
        <v>45877</v>
      </c>
    </row>
    <row r="8" spans="1:92" ht="19.5" customHeight="1" x14ac:dyDescent="0.45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24" customHeight="1" x14ac:dyDescent="0.45">
      <c r="A9" s="3" t="s">
        <v>20</v>
      </c>
      <c r="B9" s="4" t="s">
        <v>21</v>
      </c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24" customHeight="1" x14ac:dyDescent="0.45">
      <c r="A10" s="57" t="s">
        <v>22</v>
      </c>
      <c r="B10" s="10" t="s">
        <v>23</v>
      </c>
      <c r="C10" s="11">
        <v>100</v>
      </c>
      <c r="D10" s="12">
        <v>45778</v>
      </c>
      <c r="E10" s="12">
        <v>45785</v>
      </c>
      <c r="F10" s="12">
        <v>45778</v>
      </c>
      <c r="G10" s="12">
        <v>45781</v>
      </c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85"/>
      <c r="V10" s="85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24" customHeight="1" x14ac:dyDescent="0.45">
      <c r="A11" s="57" t="s">
        <v>24</v>
      </c>
      <c r="B11" s="10" t="s">
        <v>38</v>
      </c>
      <c r="C11" s="11"/>
      <c r="D11" s="12"/>
      <c r="E11" s="12"/>
      <c r="F11" s="12"/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24" customHeight="1" x14ac:dyDescent="0.45">
      <c r="A12" s="57" t="s">
        <v>26</v>
      </c>
      <c r="B12" s="10" t="s">
        <v>23</v>
      </c>
      <c r="C12" s="11">
        <v>100</v>
      </c>
      <c r="D12" s="12">
        <v>45778</v>
      </c>
      <c r="E12" s="12">
        <v>45785</v>
      </c>
      <c r="F12" s="12">
        <v>45778</v>
      </c>
      <c r="G12" s="12">
        <v>45781</v>
      </c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85"/>
      <c r="V12" s="85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24" customHeight="1" x14ac:dyDescent="0.45">
      <c r="A13" s="57" t="s">
        <v>27</v>
      </c>
      <c r="B13" s="10" t="s">
        <v>28</v>
      </c>
      <c r="C13" s="11">
        <v>100</v>
      </c>
      <c r="D13" s="12">
        <v>45784</v>
      </c>
      <c r="E13" s="12">
        <v>45788</v>
      </c>
      <c r="F13" s="12">
        <v>45784</v>
      </c>
      <c r="G13" s="12">
        <v>45788</v>
      </c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85"/>
      <c r="Z13" s="85"/>
      <c r="AA13" s="85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24" customHeight="1" x14ac:dyDescent="0.45">
      <c r="A14" s="57" t="s">
        <v>49</v>
      </c>
      <c r="B14" s="10" t="s">
        <v>38</v>
      </c>
      <c r="C14" s="11">
        <v>100</v>
      </c>
      <c r="D14" s="12">
        <v>45813</v>
      </c>
      <c r="E14" s="12">
        <v>45813</v>
      </c>
      <c r="F14" s="12">
        <v>45813</v>
      </c>
      <c r="G14" s="12">
        <v>45813</v>
      </c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24" customHeight="1" x14ac:dyDescent="0.45">
      <c r="A15" s="57" t="s">
        <v>50</v>
      </c>
      <c r="B15" s="10" t="s">
        <v>38</v>
      </c>
      <c r="C15" s="11"/>
      <c r="D15" s="12">
        <v>45828</v>
      </c>
      <c r="E15" s="12">
        <v>45830</v>
      </c>
      <c r="F15" s="12"/>
      <c r="G15" s="12"/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5"/>
    </row>
    <row r="16" spans="1:92" ht="24" customHeight="1" x14ac:dyDescent="0.45">
      <c r="A16" s="16" t="s">
        <v>30</v>
      </c>
      <c r="B16" s="17" t="s">
        <v>21</v>
      </c>
      <c r="C16" s="18"/>
      <c r="D16" s="19"/>
      <c r="E16" s="19"/>
      <c r="F16" s="19"/>
      <c r="G16" s="19"/>
      <c r="H16" s="20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2"/>
    </row>
    <row r="17" spans="1:92" ht="24" customHeight="1" x14ac:dyDescent="0.45">
      <c r="A17" s="58" t="s">
        <v>51</v>
      </c>
      <c r="B17" s="23" t="s">
        <v>28</v>
      </c>
      <c r="C17" s="24">
        <v>100</v>
      </c>
      <c r="D17" s="25">
        <v>45779</v>
      </c>
      <c r="E17" s="25">
        <v>45783</v>
      </c>
      <c r="F17" s="25">
        <v>45779</v>
      </c>
      <c r="G17" s="25">
        <v>45811</v>
      </c>
      <c r="H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8"/>
    </row>
    <row r="18" spans="1:92" ht="24" customHeight="1" x14ac:dyDescent="0.45">
      <c r="A18" s="58" t="s">
        <v>52</v>
      </c>
      <c r="B18" s="23" t="s">
        <v>28</v>
      </c>
      <c r="C18" s="24">
        <v>0</v>
      </c>
      <c r="D18" s="25"/>
      <c r="E18" s="25"/>
      <c r="F18" s="25"/>
      <c r="G18" s="25"/>
      <c r="H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8"/>
    </row>
    <row r="19" spans="1:92" ht="24" customHeight="1" x14ac:dyDescent="0.45">
      <c r="A19" s="58" t="s">
        <v>53</v>
      </c>
      <c r="B19" s="23" t="s">
        <v>38</v>
      </c>
      <c r="C19" s="24">
        <v>100</v>
      </c>
      <c r="D19" s="25">
        <v>45796</v>
      </c>
      <c r="E19" s="25">
        <v>45808</v>
      </c>
      <c r="F19" s="25">
        <v>45802</v>
      </c>
      <c r="G19" s="25">
        <v>45812</v>
      </c>
      <c r="H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8"/>
    </row>
    <row r="20" spans="1:92" ht="24" customHeight="1" x14ac:dyDescent="0.45">
      <c r="A20" s="58" t="s">
        <v>54</v>
      </c>
      <c r="B20" s="23" t="s">
        <v>38</v>
      </c>
      <c r="C20" s="24">
        <v>100</v>
      </c>
      <c r="D20" s="25">
        <v>45811</v>
      </c>
      <c r="E20" s="25">
        <v>45812</v>
      </c>
      <c r="F20" s="25">
        <v>45811</v>
      </c>
      <c r="G20" s="25">
        <v>45812</v>
      </c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24" customHeight="1" x14ac:dyDescent="0.45">
      <c r="A21" s="58" t="s">
        <v>55</v>
      </c>
      <c r="B21" s="23" t="s">
        <v>56</v>
      </c>
      <c r="C21" s="24">
        <v>100</v>
      </c>
      <c r="D21" s="25"/>
      <c r="E21" s="25"/>
      <c r="F21" s="25"/>
      <c r="G21" s="25">
        <v>45833</v>
      </c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8"/>
    </row>
    <row r="22" spans="1:92" ht="24" customHeight="1" x14ac:dyDescent="0.45">
      <c r="A22" s="29" t="s">
        <v>36</v>
      </c>
      <c r="B22" s="30" t="s">
        <v>37</v>
      </c>
      <c r="C22" s="31"/>
      <c r="D22" s="32"/>
      <c r="E22" s="32"/>
      <c r="F22" s="32"/>
      <c r="G22" s="32"/>
      <c r="H22" s="33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5"/>
    </row>
    <row r="23" spans="1:92" ht="24" customHeight="1" x14ac:dyDescent="0.45">
      <c r="A23" s="59" t="s">
        <v>57</v>
      </c>
      <c r="B23" s="36" t="s">
        <v>25</v>
      </c>
      <c r="C23" s="37">
        <v>100</v>
      </c>
      <c r="D23" s="38">
        <v>45784</v>
      </c>
      <c r="E23" s="38">
        <v>45810</v>
      </c>
      <c r="F23" s="38">
        <v>45784</v>
      </c>
      <c r="G23" s="38"/>
      <c r="H23" s="39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1"/>
    </row>
    <row r="24" spans="1:92" ht="24" customHeight="1" x14ac:dyDescent="0.45">
      <c r="A24" s="59" t="s">
        <v>27</v>
      </c>
      <c r="B24" s="36" t="s">
        <v>38</v>
      </c>
      <c r="C24" s="37">
        <v>100</v>
      </c>
      <c r="D24" s="38">
        <v>45789</v>
      </c>
      <c r="E24" s="38">
        <v>45795</v>
      </c>
      <c r="F24" s="38">
        <v>45793</v>
      </c>
      <c r="G24" s="38">
        <v>45793</v>
      </c>
      <c r="H24" s="39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85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1"/>
    </row>
    <row r="25" spans="1:92" ht="24" customHeight="1" x14ac:dyDescent="0.45">
      <c r="A25" s="59" t="s">
        <v>39</v>
      </c>
      <c r="B25" s="36" t="s">
        <v>58</v>
      </c>
      <c r="C25" s="37"/>
      <c r="D25" s="38">
        <v>45786</v>
      </c>
      <c r="E25" s="38">
        <v>45810</v>
      </c>
      <c r="F25" s="38">
        <v>45803</v>
      </c>
      <c r="G25" s="38"/>
      <c r="H25" s="39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1"/>
    </row>
    <row r="26" spans="1:92" ht="24" customHeight="1" x14ac:dyDescent="0.45">
      <c r="A26" s="59" t="s">
        <v>59</v>
      </c>
      <c r="B26" s="36" t="s">
        <v>56</v>
      </c>
      <c r="C26" s="37">
        <v>100</v>
      </c>
      <c r="D26" s="38">
        <v>45786</v>
      </c>
      <c r="E26" s="38">
        <v>45810</v>
      </c>
      <c r="F26" s="38"/>
      <c r="G26" s="38"/>
      <c r="H26" s="39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1"/>
    </row>
    <row r="27" spans="1:92" ht="24" customHeight="1" x14ac:dyDescent="0.45">
      <c r="A27" s="59" t="s">
        <v>60</v>
      </c>
      <c r="B27" s="36" t="s">
        <v>61</v>
      </c>
      <c r="C27" s="37">
        <v>100</v>
      </c>
      <c r="D27" s="38">
        <v>45798</v>
      </c>
      <c r="E27" s="38">
        <v>45809</v>
      </c>
      <c r="F27" s="38">
        <v>45798</v>
      </c>
      <c r="G27" s="38">
        <v>45808</v>
      </c>
      <c r="H27" s="39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D27" s="40"/>
      <c r="CE27" s="40"/>
      <c r="CF27" s="40"/>
      <c r="CG27" s="40"/>
      <c r="CH27" s="40"/>
      <c r="CI27" s="40"/>
      <c r="CJ27" s="40"/>
      <c r="CK27" s="40"/>
      <c r="CL27" s="40"/>
      <c r="CM27" s="40"/>
      <c r="CN27" s="41"/>
    </row>
    <row r="28" spans="1:92" ht="24" customHeight="1" x14ac:dyDescent="0.45">
      <c r="A28" s="42" t="s">
        <v>42</v>
      </c>
      <c r="B28" s="43" t="s">
        <v>37</v>
      </c>
      <c r="C28" s="44"/>
      <c r="D28" s="45"/>
      <c r="E28" s="45"/>
      <c r="F28" s="45"/>
      <c r="G28" s="45"/>
      <c r="H28" s="46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47"/>
      <c r="BU28" s="47"/>
      <c r="BV28" s="47"/>
      <c r="BW28" s="47"/>
      <c r="BX28" s="47"/>
      <c r="BY28" s="47"/>
      <c r="BZ28" s="47"/>
      <c r="CA28" s="47"/>
      <c r="CB28" s="47"/>
      <c r="CC28" s="47"/>
      <c r="CD28" s="47"/>
      <c r="CE28" s="47"/>
      <c r="CF28" s="47"/>
      <c r="CG28" s="47"/>
      <c r="CH28" s="47"/>
      <c r="CI28" s="47"/>
      <c r="CJ28" s="47"/>
      <c r="CK28" s="47"/>
      <c r="CL28" s="47"/>
      <c r="CM28" s="47"/>
      <c r="CN28" s="48"/>
    </row>
    <row r="29" spans="1:92" ht="24" customHeight="1" x14ac:dyDescent="0.45">
      <c r="A29" s="60" t="s">
        <v>43</v>
      </c>
      <c r="B29" s="49" t="s">
        <v>38</v>
      </c>
      <c r="C29" s="50">
        <v>80</v>
      </c>
      <c r="D29" s="51">
        <v>45779</v>
      </c>
      <c r="E29" s="51">
        <v>45783</v>
      </c>
      <c r="F29" s="51">
        <v>45779</v>
      </c>
      <c r="G29" s="51"/>
      <c r="H29" s="52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4"/>
    </row>
    <row r="30" spans="1:92" ht="24" customHeight="1" x14ac:dyDescent="0.45">
      <c r="A30" s="60" t="s">
        <v>44</v>
      </c>
      <c r="B30" s="49" t="s">
        <v>38</v>
      </c>
      <c r="C30" s="50">
        <v>0</v>
      </c>
      <c r="D30" s="51">
        <v>45793</v>
      </c>
      <c r="E30" s="51">
        <v>45800</v>
      </c>
      <c r="F30" s="51">
        <v>45793</v>
      </c>
      <c r="G30" s="51"/>
      <c r="H30" s="52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  <c r="BT30" s="53"/>
      <c r="BU30" s="53"/>
      <c r="BV30" s="53"/>
      <c r="BW30" s="53"/>
      <c r="BX30" s="53"/>
      <c r="BY30" s="53"/>
      <c r="BZ30" s="53"/>
      <c r="CA30" s="53"/>
      <c r="CB30" s="53"/>
      <c r="CC30" s="53"/>
      <c r="CD30" s="53"/>
      <c r="CE30" s="53"/>
      <c r="CF30" s="53"/>
      <c r="CG30" s="53"/>
      <c r="CH30" s="53"/>
      <c r="CI30" s="53"/>
      <c r="CJ30" s="53"/>
      <c r="CK30" s="53"/>
      <c r="CL30" s="53"/>
      <c r="CM30" s="53"/>
      <c r="CN30" s="54"/>
    </row>
    <row r="31" spans="1:92" ht="24" customHeight="1" x14ac:dyDescent="0.45">
      <c r="A31" s="60" t="s">
        <v>62</v>
      </c>
      <c r="B31" s="49" t="s">
        <v>38</v>
      </c>
      <c r="C31" s="50"/>
      <c r="D31" s="51"/>
      <c r="E31" s="51"/>
      <c r="F31" s="51"/>
      <c r="G31" s="51"/>
      <c r="H31" s="52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  <c r="BT31" s="53"/>
      <c r="BU31" s="53"/>
      <c r="BV31" s="53"/>
      <c r="BW31" s="53"/>
      <c r="BX31" s="53"/>
      <c r="BY31" s="53"/>
      <c r="BZ31" s="53"/>
      <c r="CA31" s="53"/>
      <c r="CB31" s="53"/>
      <c r="CC31" s="53"/>
      <c r="CD31" s="53"/>
      <c r="CE31" s="53"/>
      <c r="CF31" s="53"/>
      <c r="CG31" s="53"/>
      <c r="CH31" s="53"/>
      <c r="CI31" s="53"/>
      <c r="CJ31" s="53"/>
      <c r="CK31" s="53"/>
      <c r="CL31" s="53"/>
      <c r="CM31" s="53"/>
      <c r="CN31" s="54"/>
    </row>
    <row r="32" spans="1:92" ht="24" customHeight="1" x14ac:dyDescent="0.45">
      <c r="A32" s="60" t="s">
        <v>40</v>
      </c>
      <c r="B32" s="49"/>
      <c r="C32" s="50"/>
      <c r="D32" s="51"/>
      <c r="E32" s="51"/>
      <c r="F32" s="51"/>
      <c r="G32" s="51"/>
      <c r="H32" s="52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4"/>
    </row>
    <row r="33" spans="1:92" ht="24" customHeight="1" x14ac:dyDescent="0.45">
      <c r="A33" s="60" t="s">
        <v>41</v>
      </c>
      <c r="B33" s="49"/>
      <c r="C33" s="50"/>
      <c r="D33" s="51"/>
      <c r="E33" s="51"/>
      <c r="F33" s="51"/>
      <c r="G33" s="51"/>
      <c r="H33" s="52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53"/>
      <c r="BJ33" s="53"/>
      <c r="BK33" s="53"/>
      <c r="BL33" s="53"/>
      <c r="BM33" s="53"/>
      <c r="BN33" s="53"/>
      <c r="BO33" s="53"/>
      <c r="BP33" s="53"/>
      <c r="BQ33" s="53"/>
      <c r="BR33" s="53"/>
      <c r="BS33" s="53"/>
      <c r="BT33" s="53"/>
      <c r="BU33" s="53"/>
      <c r="BV33" s="53"/>
      <c r="BW33" s="53"/>
      <c r="BX33" s="53"/>
      <c r="BY33" s="53"/>
      <c r="BZ33" s="53"/>
      <c r="CA33" s="53"/>
      <c r="CB33" s="53"/>
      <c r="CC33" s="53"/>
      <c r="CD33" s="53"/>
      <c r="CE33" s="53"/>
      <c r="CF33" s="53"/>
      <c r="CG33" s="53"/>
      <c r="CH33" s="53"/>
      <c r="CI33" s="53"/>
      <c r="CJ33" s="53"/>
      <c r="CK33" s="53"/>
      <c r="CL33" s="53"/>
      <c r="CM33" s="53"/>
      <c r="CN33" s="54"/>
    </row>
    <row r="34" spans="1:92" ht="24" customHeight="1" x14ac:dyDescent="0.45">
      <c r="A34" s="69" t="s">
        <v>46</v>
      </c>
      <c r="B34" s="70"/>
      <c r="C34" s="71"/>
      <c r="D34" s="72"/>
      <c r="E34" s="72"/>
      <c r="F34" s="72"/>
      <c r="G34" s="72"/>
      <c r="H34" s="73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74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4"/>
      <c r="BD34" s="74"/>
      <c r="BE34" s="74"/>
      <c r="BF34" s="74"/>
      <c r="BG34" s="74"/>
      <c r="BH34" s="74"/>
      <c r="BI34" s="74"/>
      <c r="BJ34" s="74"/>
      <c r="BK34" s="74"/>
      <c r="BL34" s="74"/>
      <c r="BM34" s="74"/>
      <c r="BN34" s="74"/>
      <c r="BO34" s="74"/>
      <c r="BP34" s="74"/>
      <c r="BQ34" s="74"/>
      <c r="BR34" s="74"/>
      <c r="BS34" s="74"/>
      <c r="BT34" s="74"/>
      <c r="BU34" s="74"/>
      <c r="BV34" s="74"/>
      <c r="BW34" s="74"/>
      <c r="BX34" s="74"/>
      <c r="BY34" s="74"/>
      <c r="BZ34" s="74"/>
      <c r="CA34" s="74"/>
      <c r="CB34" s="74"/>
      <c r="CC34" s="74"/>
      <c r="CD34" s="74"/>
      <c r="CE34" s="74"/>
      <c r="CF34" s="74"/>
      <c r="CG34" s="74"/>
      <c r="CH34" s="74"/>
      <c r="CI34" s="74"/>
      <c r="CJ34" s="74"/>
      <c r="CK34" s="74"/>
      <c r="CL34" s="74"/>
      <c r="CM34" s="74"/>
      <c r="CN34" s="75"/>
    </row>
    <row r="35" spans="1:92" ht="25.5" customHeight="1" x14ac:dyDescent="0.45">
      <c r="A35" s="76" t="s">
        <v>47</v>
      </c>
      <c r="B35" s="77"/>
      <c r="C35" s="78"/>
      <c r="D35" s="79"/>
      <c r="E35" s="79"/>
      <c r="F35" s="79"/>
      <c r="G35" s="79"/>
      <c r="H35" s="80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1"/>
      <c r="AS35" s="81"/>
      <c r="AT35" s="81"/>
      <c r="AU35" s="81"/>
      <c r="AV35" s="81"/>
      <c r="AW35" s="81"/>
      <c r="AX35" s="81"/>
      <c r="AY35" s="81"/>
      <c r="AZ35" s="81"/>
      <c r="BA35" s="81"/>
      <c r="BB35" s="81"/>
      <c r="BC35" s="81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81"/>
      <c r="BQ35" s="81"/>
      <c r="BR35" s="81"/>
      <c r="BS35" s="81"/>
      <c r="BT35" s="81"/>
      <c r="BU35" s="81"/>
      <c r="BV35" s="81"/>
      <c r="BW35" s="81"/>
      <c r="BX35" s="81"/>
      <c r="BY35" s="81"/>
      <c r="BZ35" s="81"/>
      <c r="CA35" s="81"/>
      <c r="CB35" s="81"/>
      <c r="CC35" s="81"/>
      <c r="CD35" s="81"/>
      <c r="CE35" s="81"/>
      <c r="CF35" s="81"/>
      <c r="CG35" s="81"/>
      <c r="CH35" s="81"/>
      <c r="CI35" s="81"/>
      <c r="CJ35" s="81"/>
      <c r="CK35" s="81"/>
      <c r="CL35" s="81"/>
      <c r="CM35" s="81"/>
      <c r="CN35" s="82"/>
    </row>
    <row r="36" spans="1:92" ht="24" customHeight="1" x14ac:dyDescent="0.45">
      <c r="A36" s="68" t="s">
        <v>48</v>
      </c>
      <c r="B36" s="55"/>
      <c r="C36" s="56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</row>
    <row r="37" spans="1:92" ht="24" customHeight="1" x14ac:dyDescent="0.45"/>
    <row r="38" spans="1:92" ht="24" customHeight="1" x14ac:dyDescent="0.45"/>
    <row r="39" spans="1:92" ht="17.45" customHeight="1" x14ac:dyDescent="0.45"/>
    <row r="40" spans="1:92" ht="17.45" customHeight="1" x14ac:dyDescent="0.45"/>
  </sheetData>
  <sheetProtection insertRows="0"/>
  <mergeCells count="28"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</mergeCells>
  <phoneticPr fontId="19"/>
  <conditionalFormatting sqref="F9:G35">
    <cfRule type="expression" dxfId="1" priority="1">
      <formula>D9&lt;F9</formula>
    </cfRule>
  </conditionalFormatting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F3143-E3BF-4336-936F-779FA273A598}">
  <dimension ref="A1:CN51"/>
  <sheetViews>
    <sheetView tabSelected="1" topLeftCell="A7" zoomScale="115" zoomScaleNormal="115" workbookViewId="0">
      <selection activeCell="G14" sqref="G14"/>
    </sheetView>
  </sheetViews>
  <sheetFormatPr defaultRowHeight="15.75" x14ac:dyDescent="0.25"/>
  <cols>
    <col min="1" max="1" width="17" customWidth="1"/>
    <col min="2" max="2" width="0" hidden="1" customWidth="1"/>
    <col min="8" max="92" width="4.6640625" customWidth="1"/>
  </cols>
  <sheetData>
    <row r="1" spans="1:92" ht="22.5" x14ac:dyDescent="0.45">
      <c r="A1" s="67" t="s">
        <v>0</v>
      </c>
      <c r="B1" s="1"/>
      <c r="C1" s="2"/>
      <c r="D1" s="66" t="s">
        <v>1</v>
      </c>
      <c r="E1" s="115">
        <v>46280</v>
      </c>
      <c r="F1" s="115"/>
      <c r="G1" s="1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ht="18.75" x14ac:dyDescent="0.45">
      <c r="A2" s="116" t="s">
        <v>93</v>
      </c>
      <c r="B2" s="116"/>
      <c r="C2" s="116"/>
      <c r="D2" s="116"/>
      <c r="E2" s="116"/>
      <c r="F2" s="116"/>
      <c r="G2" s="116"/>
      <c r="H2" s="83"/>
      <c r="I2" s="83"/>
      <c r="J2" s="83"/>
      <c r="K2" s="83"/>
      <c r="L2" s="83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t="18.75" x14ac:dyDescent="0.45">
      <c r="A3" s="116" t="s">
        <v>3</v>
      </c>
      <c r="B3" s="116"/>
      <c r="C3" s="116"/>
      <c r="D3" s="116"/>
      <c r="E3" s="116"/>
      <c r="F3" s="116"/>
      <c r="G3" s="116"/>
      <c r="H3" s="83"/>
      <c r="I3" s="83"/>
      <c r="J3" s="83"/>
      <c r="K3" s="83"/>
      <c r="L3" s="83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</row>
    <row r="4" spans="1:92" ht="18.75" x14ac:dyDescent="0.45">
      <c r="A4" s="116" t="s">
        <v>63</v>
      </c>
      <c r="B4" s="116"/>
      <c r="C4" s="116"/>
      <c r="D4" s="116"/>
      <c r="E4" s="116"/>
      <c r="F4" s="116"/>
      <c r="G4" s="116"/>
      <c r="H4" s="83"/>
      <c r="I4" s="83"/>
      <c r="J4" s="83"/>
      <c r="K4" s="83"/>
      <c r="L4" s="83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</row>
    <row r="5" spans="1:92" ht="18.75" x14ac:dyDescent="0.45">
      <c r="A5" s="1"/>
      <c r="B5" s="1"/>
      <c r="C5" s="2"/>
      <c r="D5" s="117"/>
      <c r="E5" s="117"/>
      <c r="F5" s="118"/>
      <c r="G5" s="118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 t="s">
        <v>5</v>
      </c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 t="s">
        <v>6</v>
      </c>
      <c r="BP5" s="1"/>
      <c r="BQ5" s="1"/>
      <c r="BR5" s="1"/>
      <c r="BS5" s="1"/>
      <c r="BT5" s="1"/>
      <c r="BU5" s="1"/>
      <c r="BV5" s="1"/>
      <c r="BW5" s="1"/>
      <c r="BX5" s="1" t="s">
        <v>7</v>
      </c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</row>
    <row r="6" spans="1:92" ht="18.75" x14ac:dyDescent="0.45">
      <c r="A6" s="65"/>
      <c r="B6" s="119"/>
      <c r="C6" s="119"/>
      <c r="D6" s="120"/>
      <c r="E6" s="120"/>
      <c r="F6" s="121"/>
      <c r="G6" s="122"/>
      <c r="H6" s="114">
        <f>H7</f>
        <v>46279</v>
      </c>
      <c r="I6" s="114"/>
      <c r="J6" s="114"/>
      <c r="K6" s="114"/>
      <c r="L6" s="114"/>
      <c r="M6" s="114">
        <f>H6+7</f>
        <v>46286</v>
      </c>
      <c r="N6" s="114"/>
      <c r="O6" s="114"/>
      <c r="P6" s="114"/>
      <c r="Q6" s="114"/>
      <c r="R6" s="114">
        <f>M6+7</f>
        <v>46293</v>
      </c>
      <c r="S6" s="114"/>
      <c r="T6" s="114"/>
      <c r="U6" s="114"/>
      <c r="V6" s="114"/>
      <c r="W6" s="114">
        <f>R6+7</f>
        <v>46300</v>
      </c>
      <c r="X6" s="114"/>
      <c r="Y6" s="114"/>
      <c r="Z6" s="114"/>
      <c r="AA6" s="114"/>
      <c r="AB6" s="114">
        <f>W6+7</f>
        <v>46307</v>
      </c>
      <c r="AC6" s="114"/>
      <c r="AD6" s="114"/>
      <c r="AE6" s="114"/>
      <c r="AF6" s="114"/>
      <c r="AG6" s="114">
        <f>AB6+7</f>
        <v>46314</v>
      </c>
      <c r="AH6" s="114"/>
      <c r="AI6" s="114"/>
      <c r="AJ6" s="114"/>
      <c r="AK6" s="114"/>
      <c r="AL6" s="114">
        <f>AG6+7</f>
        <v>46321</v>
      </c>
      <c r="AM6" s="114"/>
      <c r="AN6" s="114"/>
      <c r="AO6" s="114"/>
      <c r="AP6" s="114"/>
      <c r="AQ6" s="114">
        <f>AL6+7</f>
        <v>46328</v>
      </c>
      <c r="AR6" s="114"/>
      <c r="AS6" s="114"/>
      <c r="AT6" s="114"/>
      <c r="AU6" s="114"/>
      <c r="AV6" s="114">
        <f>AQ6+7</f>
        <v>46335</v>
      </c>
      <c r="AW6" s="114"/>
      <c r="AX6" s="114"/>
      <c r="AY6" s="114"/>
      <c r="AZ6" s="114"/>
      <c r="BA6" s="114">
        <f>AV6+7</f>
        <v>46342</v>
      </c>
      <c r="BB6" s="114"/>
      <c r="BC6" s="114"/>
      <c r="BD6" s="114"/>
      <c r="BE6" s="114"/>
      <c r="BF6" s="114">
        <f>BA6+7</f>
        <v>46349</v>
      </c>
      <c r="BG6" s="114"/>
      <c r="BH6" s="114"/>
      <c r="BI6" s="114"/>
      <c r="BJ6" s="114"/>
      <c r="BK6" s="114">
        <f>BF6+7</f>
        <v>46356</v>
      </c>
      <c r="BL6" s="114"/>
      <c r="BM6" s="114"/>
      <c r="BN6" s="114"/>
      <c r="BO6" s="114"/>
      <c r="BP6" s="114">
        <f>BK6+7</f>
        <v>46363</v>
      </c>
      <c r="BQ6" s="114"/>
      <c r="BR6" s="114"/>
      <c r="BS6" s="114"/>
      <c r="BT6" s="114"/>
      <c r="BU6" s="114">
        <f>BP6+7</f>
        <v>46370</v>
      </c>
      <c r="BV6" s="114"/>
      <c r="BW6" s="114"/>
      <c r="BX6" s="114"/>
      <c r="BY6" s="114"/>
      <c r="BZ6" s="114">
        <f>BU6+7</f>
        <v>46377</v>
      </c>
      <c r="CA6" s="114"/>
      <c r="CB6" s="114"/>
      <c r="CC6" s="114"/>
      <c r="CD6" s="114"/>
      <c r="CE6" s="114">
        <f>BZ6+7</f>
        <v>46384</v>
      </c>
      <c r="CF6" s="114"/>
      <c r="CG6" s="114"/>
      <c r="CH6" s="114"/>
      <c r="CI6" s="114"/>
      <c r="CJ6" s="114">
        <f>CE6+7</f>
        <v>46391</v>
      </c>
      <c r="CK6" s="114"/>
      <c r="CL6" s="114"/>
      <c r="CM6" s="114"/>
      <c r="CN6" s="114"/>
    </row>
    <row r="7" spans="1:92" ht="18.75" x14ac:dyDescent="0.45">
      <c r="A7" s="61"/>
      <c r="B7" s="61"/>
      <c r="C7" s="62"/>
      <c r="D7" s="123" t="s">
        <v>8</v>
      </c>
      <c r="E7" s="124"/>
      <c r="F7" s="125" t="s">
        <v>9</v>
      </c>
      <c r="G7" s="124"/>
      <c r="H7" s="63">
        <f>E1-WEEKDAY(E1,1)+2</f>
        <v>46279</v>
      </c>
      <c r="I7" s="63">
        <f>H7+1</f>
        <v>46280</v>
      </c>
      <c r="J7" s="63">
        <f t="shared" ref="J7:L7" si="0">I7+1</f>
        <v>46281</v>
      </c>
      <c r="K7" s="63">
        <f t="shared" si="0"/>
        <v>46282</v>
      </c>
      <c r="L7" s="63">
        <f t="shared" si="0"/>
        <v>46283</v>
      </c>
      <c r="M7" s="63">
        <f>M6</f>
        <v>46286</v>
      </c>
      <c r="N7" s="63">
        <f>M7+1</f>
        <v>46287</v>
      </c>
      <c r="O7" s="63">
        <f t="shared" ref="O7:Q7" si="1">N7+1</f>
        <v>46288</v>
      </c>
      <c r="P7" s="63">
        <f t="shared" si="1"/>
        <v>46289</v>
      </c>
      <c r="Q7" s="63">
        <f t="shared" si="1"/>
        <v>46290</v>
      </c>
      <c r="R7" s="63">
        <f>R6</f>
        <v>46293</v>
      </c>
      <c r="S7" s="63">
        <f>R7+1</f>
        <v>46294</v>
      </c>
      <c r="T7" s="63">
        <f t="shared" ref="T7:V7" si="2">S7+1</f>
        <v>46295</v>
      </c>
      <c r="U7" s="63">
        <f t="shared" si="2"/>
        <v>46296</v>
      </c>
      <c r="V7" s="63">
        <f t="shared" si="2"/>
        <v>46297</v>
      </c>
      <c r="W7" s="84">
        <f>W6</f>
        <v>46300</v>
      </c>
      <c r="X7" s="63">
        <f>W7+1</f>
        <v>46301</v>
      </c>
      <c r="Y7" s="63">
        <f t="shared" ref="Y7:AA7" si="3">X7+1</f>
        <v>46302</v>
      </c>
      <c r="Z7" s="63">
        <f t="shared" si="3"/>
        <v>46303</v>
      </c>
      <c r="AA7" s="84">
        <f t="shared" si="3"/>
        <v>46304</v>
      </c>
      <c r="AB7" s="84">
        <f>AB6</f>
        <v>46307</v>
      </c>
      <c r="AC7" s="63">
        <f>AB7+1</f>
        <v>46308</v>
      </c>
      <c r="AD7" s="63">
        <f t="shared" ref="AD7:AF7" si="4">AC7+1</f>
        <v>46309</v>
      </c>
      <c r="AE7" s="63">
        <f t="shared" si="4"/>
        <v>46310</v>
      </c>
      <c r="AF7" s="63">
        <f t="shared" si="4"/>
        <v>46311</v>
      </c>
      <c r="AG7" s="63">
        <f>AG6</f>
        <v>46314</v>
      </c>
      <c r="AH7" s="63">
        <f>AG7+1</f>
        <v>46315</v>
      </c>
      <c r="AI7" s="63">
        <f t="shared" ref="AI7:AK7" si="5">AH7+1</f>
        <v>46316</v>
      </c>
      <c r="AJ7" s="63">
        <f t="shared" si="5"/>
        <v>46317</v>
      </c>
      <c r="AK7" s="63">
        <f t="shared" si="5"/>
        <v>46318</v>
      </c>
      <c r="AL7" s="63">
        <f>AL6</f>
        <v>46321</v>
      </c>
      <c r="AM7" s="63">
        <f>AL7+1</f>
        <v>46322</v>
      </c>
      <c r="AN7" s="63">
        <f t="shared" ref="AN7:AP7" si="6">AM7+1</f>
        <v>46323</v>
      </c>
      <c r="AO7" s="63">
        <f t="shared" si="6"/>
        <v>46324</v>
      </c>
      <c r="AP7" s="63">
        <f t="shared" si="6"/>
        <v>46325</v>
      </c>
      <c r="AQ7" s="63">
        <f>AQ6</f>
        <v>46328</v>
      </c>
      <c r="AR7" s="63">
        <f>AQ7+1</f>
        <v>46329</v>
      </c>
      <c r="AS7" s="63">
        <f t="shared" ref="AS7:AU7" si="7">AR7+1</f>
        <v>46330</v>
      </c>
      <c r="AT7" s="63">
        <f t="shared" si="7"/>
        <v>46331</v>
      </c>
      <c r="AU7" s="63">
        <f t="shared" si="7"/>
        <v>46332</v>
      </c>
      <c r="AV7" s="63">
        <f>AV6</f>
        <v>46335</v>
      </c>
      <c r="AW7" s="63">
        <f>AV7+1</f>
        <v>46336</v>
      </c>
      <c r="AX7" s="63">
        <f t="shared" ref="AX7:AZ7" si="8">AW7+1</f>
        <v>46337</v>
      </c>
      <c r="AY7" s="63">
        <f t="shared" si="8"/>
        <v>46338</v>
      </c>
      <c r="AZ7" s="63">
        <f t="shared" si="8"/>
        <v>46339</v>
      </c>
      <c r="BA7" s="63">
        <f>BA6</f>
        <v>46342</v>
      </c>
      <c r="BB7" s="63">
        <f>BA7+1</f>
        <v>46343</v>
      </c>
      <c r="BC7" s="63">
        <f t="shared" ref="BC7:BE7" si="9">BB7+1</f>
        <v>46344</v>
      </c>
      <c r="BD7" s="63">
        <f t="shared" si="9"/>
        <v>46345</v>
      </c>
      <c r="BE7" s="63">
        <f t="shared" si="9"/>
        <v>46346</v>
      </c>
      <c r="BF7" s="63">
        <f>BF6</f>
        <v>46349</v>
      </c>
      <c r="BG7" s="63">
        <f>BF7+1</f>
        <v>46350</v>
      </c>
      <c r="BH7" s="63">
        <f t="shared" ref="BH7:BJ7" si="10">BG7+1</f>
        <v>46351</v>
      </c>
      <c r="BI7" s="63">
        <f t="shared" si="10"/>
        <v>46352</v>
      </c>
      <c r="BJ7" s="63">
        <f t="shared" si="10"/>
        <v>46353</v>
      </c>
      <c r="BK7" s="63">
        <f>BK6</f>
        <v>46356</v>
      </c>
      <c r="BL7" s="63">
        <f>BK7+1</f>
        <v>46357</v>
      </c>
      <c r="BM7" s="63">
        <f t="shared" ref="BM7:BO7" si="11">BL7+1</f>
        <v>46358</v>
      </c>
      <c r="BN7" s="63">
        <f t="shared" si="11"/>
        <v>46359</v>
      </c>
      <c r="BO7" s="63">
        <f t="shared" si="11"/>
        <v>46360</v>
      </c>
      <c r="BP7" s="63">
        <f>BP6</f>
        <v>46363</v>
      </c>
      <c r="BQ7" s="63">
        <f>BP7+1</f>
        <v>46364</v>
      </c>
      <c r="BR7" s="63">
        <f t="shared" ref="BR7:BT7" si="12">BQ7+1</f>
        <v>46365</v>
      </c>
      <c r="BS7" s="63">
        <f t="shared" si="12"/>
        <v>46366</v>
      </c>
      <c r="BT7" s="63">
        <f t="shared" si="12"/>
        <v>46367</v>
      </c>
      <c r="BU7" s="63">
        <f>BU6</f>
        <v>46370</v>
      </c>
      <c r="BV7" s="63">
        <f>BU7+1</f>
        <v>46371</v>
      </c>
      <c r="BW7" s="63">
        <f t="shared" ref="BW7:BY7" si="13">BV7+1</f>
        <v>46372</v>
      </c>
      <c r="BX7" s="63">
        <f t="shared" si="13"/>
        <v>46373</v>
      </c>
      <c r="BY7" s="63">
        <f t="shared" si="13"/>
        <v>46374</v>
      </c>
      <c r="BZ7" s="84">
        <f>BZ6</f>
        <v>46377</v>
      </c>
      <c r="CA7" s="63">
        <f>BZ7+1</f>
        <v>46378</v>
      </c>
      <c r="CB7" s="63">
        <f t="shared" ref="CB7:CD7" si="14">CA7+1</f>
        <v>46379</v>
      </c>
      <c r="CC7" s="63">
        <f t="shared" si="14"/>
        <v>46380</v>
      </c>
      <c r="CD7" s="63">
        <f t="shared" si="14"/>
        <v>46381</v>
      </c>
      <c r="CE7" s="63">
        <f>CE6</f>
        <v>46384</v>
      </c>
      <c r="CF7" s="63">
        <f>CE7+1</f>
        <v>46385</v>
      </c>
      <c r="CG7" s="63">
        <f t="shared" ref="CG7:CI7" si="15">CF7+1</f>
        <v>46386</v>
      </c>
      <c r="CH7" s="63">
        <f t="shared" si="15"/>
        <v>46387</v>
      </c>
      <c r="CI7" s="63">
        <f t="shared" si="15"/>
        <v>46388</v>
      </c>
      <c r="CJ7" s="63">
        <f>CJ6</f>
        <v>46391</v>
      </c>
      <c r="CK7" s="63">
        <f>CJ7+1</f>
        <v>46392</v>
      </c>
      <c r="CL7" s="63">
        <f t="shared" ref="CL7:CN7" si="16">CK7+1</f>
        <v>46393</v>
      </c>
      <c r="CM7" s="63">
        <f t="shared" si="16"/>
        <v>46394</v>
      </c>
      <c r="CN7" s="63">
        <f t="shared" si="16"/>
        <v>46395</v>
      </c>
    </row>
    <row r="8" spans="1:92" ht="18" x14ac:dyDescent="0.4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18.75" x14ac:dyDescent="0.45">
      <c r="A9" s="3" t="s">
        <v>64</v>
      </c>
      <c r="B9" s="4"/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18.75" x14ac:dyDescent="0.45">
      <c r="A10" s="99" t="s">
        <v>65</v>
      </c>
      <c r="B10" s="10"/>
      <c r="C10" s="105">
        <v>1</v>
      </c>
      <c r="D10" s="12">
        <v>46287</v>
      </c>
      <c r="E10" s="12">
        <v>46290</v>
      </c>
      <c r="F10" s="12">
        <v>46287</v>
      </c>
      <c r="G10" s="12">
        <v>46290</v>
      </c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18.75" x14ac:dyDescent="0.45">
      <c r="A11" s="99" t="s">
        <v>66</v>
      </c>
      <c r="B11" s="10"/>
      <c r="C11" s="105">
        <v>1</v>
      </c>
      <c r="D11" s="12">
        <v>46306</v>
      </c>
      <c r="E11" s="12">
        <v>46315</v>
      </c>
      <c r="F11" s="12">
        <v>46306</v>
      </c>
      <c r="G11" s="12">
        <v>46318</v>
      </c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18.75" x14ac:dyDescent="0.45">
      <c r="A12" s="99" t="s">
        <v>67</v>
      </c>
      <c r="B12" s="10"/>
      <c r="C12" s="105">
        <v>0.3</v>
      </c>
      <c r="D12" s="12">
        <v>46306</v>
      </c>
      <c r="E12" s="12">
        <v>46315</v>
      </c>
      <c r="F12" s="12">
        <v>46306</v>
      </c>
      <c r="G12" s="12"/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18.75" x14ac:dyDescent="0.45">
      <c r="A13" s="99" t="s">
        <v>68</v>
      </c>
      <c r="B13" s="10"/>
      <c r="C13" s="105">
        <v>1</v>
      </c>
      <c r="D13" s="12">
        <v>46296</v>
      </c>
      <c r="E13" s="12">
        <v>46305</v>
      </c>
      <c r="F13" s="12">
        <v>46296</v>
      </c>
      <c r="G13" s="12">
        <v>46300</v>
      </c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18.75" x14ac:dyDescent="0.45">
      <c r="A14" s="99" t="s">
        <v>69</v>
      </c>
      <c r="B14" s="10"/>
      <c r="C14" s="105">
        <v>0.5</v>
      </c>
      <c r="D14" s="12">
        <v>46306</v>
      </c>
      <c r="E14" s="12">
        <v>46315</v>
      </c>
      <c r="F14" s="12">
        <v>46306</v>
      </c>
      <c r="G14" s="12"/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18.75" x14ac:dyDescent="0.45">
      <c r="A15" s="99" t="s">
        <v>70</v>
      </c>
      <c r="B15" s="10"/>
      <c r="C15" s="105">
        <v>1</v>
      </c>
      <c r="D15" s="12">
        <v>46300</v>
      </c>
      <c r="E15" s="12">
        <v>46304</v>
      </c>
      <c r="F15" s="12">
        <v>46300</v>
      </c>
      <c r="G15" s="12">
        <v>46304</v>
      </c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5"/>
    </row>
    <row r="16" spans="1:92" ht="18.75" x14ac:dyDescent="0.45">
      <c r="A16" s="99" t="s">
        <v>71</v>
      </c>
      <c r="B16" s="10"/>
      <c r="C16" s="105">
        <v>1</v>
      </c>
      <c r="D16" s="12">
        <v>46291</v>
      </c>
      <c r="E16" s="12">
        <v>46293</v>
      </c>
      <c r="F16" s="12">
        <v>46291</v>
      </c>
      <c r="G16" s="12">
        <v>46293</v>
      </c>
      <c r="H16" s="13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5"/>
    </row>
    <row r="17" spans="1:92" ht="18.75" x14ac:dyDescent="0.45">
      <c r="A17" s="99" t="s">
        <v>94</v>
      </c>
      <c r="B17" s="10"/>
      <c r="C17" s="105"/>
      <c r="D17" s="12"/>
      <c r="E17" s="12"/>
      <c r="F17" s="12"/>
      <c r="G17" s="12"/>
      <c r="H17" s="13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5"/>
    </row>
    <row r="18" spans="1:92" ht="18.75" x14ac:dyDescent="0.45">
      <c r="A18" s="99"/>
      <c r="B18" s="10"/>
      <c r="C18" s="105"/>
      <c r="D18" s="12"/>
      <c r="E18" s="12"/>
      <c r="F18" s="12"/>
      <c r="G18" s="12"/>
      <c r="H18" s="13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5"/>
    </row>
    <row r="19" spans="1:92" ht="18.75" x14ac:dyDescent="0.45">
      <c r="A19" s="16" t="s">
        <v>72</v>
      </c>
      <c r="B19" s="17"/>
      <c r="C19" s="18"/>
      <c r="D19" s="19"/>
      <c r="E19" s="19"/>
      <c r="F19" s="19"/>
      <c r="G19" s="19"/>
      <c r="H19" s="20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2"/>
    </row>
    <row r="20" spans="1:92" ht="18.75" x14ac:dyDescent="0.45">
      <c r="A20" s="113" t="s">
        <v>77</v>
      </c>
      <c r="B20" s="23"/>
      <c r="C20" s="106">
        <v>1</v>
      </c>
      <c r="D20" s="25">
        <v>46281</v>
      </c>
      <c r="E20" s="25">
        <v>46283</v>
      </c>
      <c r="F20" s="25">
        <v>46281</v>
      </c>
      <c r="G20" s="25">
        <v>46283</v>
      </c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18.75" x14ac:dyDescent="0.45">
      <c r="A21" s="100" t="s">
        <v>80</v>
      </c>
      <c r="B21" s="23"/>
      <c r="C21" s="106">
        <v>1</v>
      </c>
      <c r="D21" s="25">
        <v>46318</v>
      </c>
      <c r="E21" s="25">
        <v>46320</v>
      </c>
      <c r="F21" s="25">
        <v>46316</v>
      </c>
      <c r="G21" s="25">
        <v>46316</v>
      </c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8"/>
    </row>
    <row r="22" spans="1:92" ht="18.75" x14ac:dyDescent="0.45">
      <c r="A22" s="113" t="s">
        <v>78</v>
      </c>
      <c r="B22" s="23"/>
      <c r="C22" s="106">
        <v>0.05</v>
      </c>
      <c r="D22" s="25">
        <v>46281</v>
      </c>
      <c r="E22" s="25">
        <v>46346</v>
      </c>
      <c r="F22" s="25">
        <v>46281</v>
      </c>
      <c r="G22" s="25"/>
      <c r="H22" s="26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8"/>
    </row>
    <row r="23" spans="1:92" ht="18.75" x14ac:dyDescent="0.45">
      <c r="A23" s="100" t="s">
        <v>81</v>
      </c>
      <c r="B23" s="23"/>
      <c r="C23" s="106">
        <v>0.05</v>
      </c>
      <c r="D23" s="25">
        <v>46281</v>
      </c>
      <c r="E23" s="25">
        <v>46346</v>
      </c>
      <c r="F23" s="25">
        <v>46281</v>
      </c>
      <c r="G23" s="25"/>
      <c r="H23" s="26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8"/>
    </row>
    <row r="24" spans="1:92" ht="18.75" x14ac:dyDescent="0.45">
      <c r="A24" s="100" t="s">
        <v>82</v>
      </c>
      <c r="B24" s="23"/>
      <c r="C24" s="106">
        <v>0.05</v>
      </c>
      <c r="D24" s="25">
        <v>46281</v>
      </c>
      <c r="E24" s="25">
        <v>46346</v>
      </c>
      <c r="F24" s="25">
        <v>46281</v>
      </c>
      <c r="G24" s="25"/>
      <c r="H24" s="26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8"/>
    </row>
    <row r="25" spans="1:92" ht="18.75" x14ac:dyDescent="0.45">
      <c r="A25" s="113" t="s">
        <v>79</v>
      </c>
      <c r="B25" s="23"/>
      <c r="C25" s="106">
        <v>0.5</v>
      </c>
      <c r="D25" s="25">
        <v>46284</v>
      </c>
      <c r="E25" s="25">
        <v>46317</v>
      </c>
      <c r="F25" s="25">
        <v>46284</v>
      </c>
      <c r="G25" s="25"/>
      <c r="H25" s="26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8"/>
    </row>
    <row r="26" spans="1:92" ht="18.75" x14ac:dyDescent="0.45">
      <c r="A26" s="100" t="s">
        <v>83</v>
      </c>
      <c r="B26" s="23"/>
      <c r="C26" s="106">
        <v>1</v>
      </c>
      <c r="D26" s="25">
        <v>46284</v>
      </c>
      <c r="E26" s="25">
        <v>46286</v>
      </c>
      <c r="F26" s="25">
        <v>46284</v>
      </c>
      <c r="G26" s="25">
        <v>46286</v>
      </c>
      <c r="H26" s="26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8"/>
    </row>
    <row r="27" spans="1:92" ht="18.75" x14ac:dyDescent="0.45">
      <c r="A27" s="100" t="s">
        <v>84</v>
      </c>
      <c r="B27" s="23"/>
      <c r="C27" s="106">
        <v>0.3</v>
      </c>
      <c r="D27" s="25">
        <v>46308</v>
      </c>
      <c r="E27" s="25">
        <v>46317</v>
      </c>
      <c r="F27" s="25">
        <v>46308</v>
      </c>
      <c r="G27" s="25"/>
      <c r="H27" s="26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8"/>
    </row>
    <row r="28" spans="1:92" ht="18.75" x14ac:dyDescent="0.45">
      <c r="A28" s="100" t="s">
        <v>86</v>
      </c>
      <c r="B28" s="23"/>
      <c r="C28" s="106">
        <v>0.3</v>
      </c>
      <c r="D28" s="25">
        <v>46308</v>
      </c>
      <c r="E28" s="25">
        <v>46325</v>
      </c>
      <c r="F28" s="25">
        <v>46308</v>
      </c>
      <c r="G28" s="25"/>
      <c r="H28" s="26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8"/>
    </row>
    <row r="29" spans="1:92" ht="18.75" x14ac:dyDescent="0.45">
      <c r="A29" s="100" t="s">
        <v>85</v>
      </c>
      <c r="B29" s="23"/>
      <c r="C29" s="106">
        <v>0.3</v>
      </c>
      <c r="D29" s="25">
        <v>46308</v>
      </c>
      <c r="E29" s="25">
        <v>46325</v>
      </c>
      <c r="F29" s="25">
        <v>46308</v>
      </c>
      <c r="G29" s="25"/>
      <c r="H29" s="26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8"/>
    </row>
    <row r="30" spans="1:92" ht="18.75" x14ac:dyDescent="0.45">
      <c r="A30" s="113" t="s">
        <v>87</v>
      </c>
      <c r="B30" s="23"/>
      <c r="C30" s="106">
        <v>0</v>
      </c>
      <c r="D30" s="25">
        <v>46325</v>
      </c>
      <c r="E30" s="25">
        <v>46346</v>
      </c>
      <c r="F30" s="25"/>
      <c r="G30" s="25"/>
      <c r="H30" s="26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8"/>
    </row>
    <row r="31" spans="1:92" ht="18.75" x14ac:dyDescent="0.45">
      <c r="A31" s="100" t="s">
        <v>88</v>
      </c>
      <c r="B31" s="23"/>
      <c r="C31" s="106">
        <v>0</v>
      </c>
      <c r="D31" s="25">
        <v>46325</v>
      </c>
      <c r="E31" s="25">
        <v>46328</v>
      </c>
      <c r="F31" s="25"/>
      <c r="G31" s="25"/>
      <c r="H31" s="26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8"/>
    </row>
    <row r="32" spans="1:92" ht="18.75" x14ac:dyDescent="0.45">
      <c r="A32" s="100" t="s">
        <v>89</v>
      </c>
      <c r="B32" s="23"/>
      <c r="C32" s="106">
        <v>0</v>
      </c>
      <c r="D32" s="25">
        <v>46341</v>
      </c>
      <c r="E32" s="25">
        <v>46344</v>
      </c>
      <c r="F32" s="25"/>
      <c r="G32" s="25"/>
      <c r="H32" s="26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8"/>
    </row>
    <row r="33" spans="1:92" ht="18.75" x14ac:dyDescent="0.45">
      <c r="A33" s="100" t="s">
        <v>90</v>
      </c>
      <c r="B33" s="23"/>
      <c r="C33" s="106">
        <v>0</v>
      </c>
      <c r="D33" s="25">
        <v>46344</v>
      </c>
      <c r="E33" s="25">
        <v>46346</v>
      </c>
      <c r="F33" s="25"/>
      <c r="G33" s="25"/>
      <c r="H33" s="26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8"/>
    </row>
    <row r="34" spans="1:92" ht="18.75" x14ac:dyDescent="0.45">
      <c r="A34" s="113" t="s">
        <v>91</v>
      </c>
      <c r="B34" s="23"/>
      <c r="C34" s="106">
        <v>0</v>
      </c>
      <c r="D34" s="25">
        <v>46347</v>
      </c>
      <c r="E34" s="25">
        <v>46351</v>
      </c>
      <c r="F34" s="25"/>
      <c r="G34" s="25"/>
      <c r="H34" s="26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8"/>
    </row>
    <row r="35" spans="1:92" ht="18.75" x14ac:dyDescent="0.45">
      <c r="A35" s="100" t="s">
        <v>92</v>
      </c>
      <c r="B35" s="23"/>
      <c r="C35" s="106">
        <v>0</v>
      </c>
      <c r="D35" s="25">
        <v>46347</v>
      </c>
      <c r="E35" s="25">
        <v>46351</v>
      </c>
      <c r="F35" s="25"/>
      <c r="G35" s="25"/>
      <c r="H35" s="26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8"/>
    </row>
    <row r="36" spans="1:92" ht="18.75" x14ac:dyDescent="0.45">
      <c r="A36" s="100"/>
      <c r="B36" s="23"/>
      <c r="C36" s="106"/>
      <c r="D36" s="25"/>
      <c r="E36" s="25"/>
      <c r="F36" s="25"/>
      <c r="G36" s="25"/>
      <c r="H36" s="26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8"/>
    </row>
    <row r="37" spans="1:92" ht="18.75" x14ac:dyDescent="0.45">
      <c r="A37" s="29"/>
      <c r="B37" s="30"/>
      <c r="C37" s="107"/>
      <c r="D37" s="32"/>
      <c r="E37" s="32"/>
      <c r="F37" s="32"/>
      <c r="G37" s="32"/>
      <c r="H37" s="33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  <c r="CF37" s="34"/>
      <c r="CG37" s="34"/>
      <c r="CH37" s="34"/>
      <c r="CI37" s="34"/>
      <c r="CJ37" s="34"/>
      <c r="CK37" s="34"/>
      <c r="CL37" s="34"/>
      <c r="CM37" s="34"/>
      <c r="CN37" s="35"/>
    </row>
    <row r="38" spans="1:92" ht="18.75" x14ac:dyDescent="0.45">
      <c r="A38" s="101"/>
      <c r="B38" s="36"/>
      <c r="C38" s="108"/>
      <c r="D38" s="38"/>
      <c r="E38" s="38"/>
      <c r="F38" s="38"/>
      <c r="G38" s="38"/>
      <c r="H38" s="39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1"/>
    </row>
    <row r="39" spans="1:92" ht="18.75" x14ac:dyDescent="0.45">
      <c r="A39" s="42"/>
      <c r="B39" s="43"/>
      <c r="C39" s="44"/>
      <c r="D39" s="45"/>
      <c r="E39" s="45"/>
      <c r="F39" s="45"/>
      <c r="G39" s="45"/>
      <c r="H39" s="46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E39" s="47"/>
      <c r="BF39" s="47"/>
      <c r="BG39" s="47"/>
      <c r="BH39" s="47"/>
      <c r="BI39" s="47"/>
      <c r="BJ39" s="47"/>
      <c r="BK39" s="47"/>
      <c r="BL39" s="47"/>
      <c r="BM39" s="47"/>
      <c r="BN39" s="47"/>
      <c r="BO39" s="47"/>
      <c r="BP39" s="47"/>
      <c r="BQ39" s="47"/>
      <c r="BR39" s="47"/>
      <c r="BS39" s="47"/>
      <c r="BT39" s="47"/>
      <c r="BU39" s="47"/>
      <c r="BV39" s="47"/>
      <c r="BW39" s="47"/>
      <c r="BX39" s="47"/>
      <c r="BY39" s="47"/>
      <c r="BZ39" s="47"/>
      <c r="CA39" s="47"/>
      <c r="CB39" s="47"/>
      <c r="CC39" s="47"/>
      <c r="CD39" s="47"/>
      <c r="CE39" s="47"/>
      <c r="CF39" s="47"/>
      <c r="CG39" s="47"/>
      <c r="CH39" s="47"/>
      <c r="CI39" s="47"/>
      <c r="CJ39" s="47"/>
      <c r="CK39" s="47"/>
      <c r="CL39" s="47"/>
      <c r="CM39" s="47"/>
      <c r="CN39" s="48"/>
    </row>
    <row r="40" spans="1:92" ht="18.75" x14ac:dyDescent="0.45">
      <c r="A40" s="102"/>
      <c r="B40" s="49"/>
      <c r="C40" s="109"/>
      <c r="D40" s="51"/>
      <c r="E40" s="51"/>
      <c r="F40" s="51"/>
      <c r="G40" s="51"/>
      <c r="H40" s="52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53"/>
      <c r="AX40" s="5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53"/>
      <c r="BJ40" s="53"/>
      <c r="BK40" s="53"/>
      <c r="BL40" s="53"/>
      <c r="BM40" s="53"/>
      <c r="BN40" s="53"/>
      <c r="BO40" s="53"/>
      <c r="BP40" s="53"/>
      <c r="BQ40" s="53"/>
      <c r="BR40" s="53"/>
      <c r="BS40" s="53"/>
      <c r="BT40" s="53"/>
      <c r="BU40" s="53"/>
      <c r="BV40" s="53"/>
      <c r="BW40" s="53"/>
      <c r="BX40" s="53"/>
      <c r="BY40" s="53"/>
      <c r="BZ40" s="53"/>
      <c r="CA40" s="53"/>
      <c r="CB40" s="53"/>
      <c r="CC40" s="53"/>
      <c r="CD40" s="53"/>
      <c r="CE40" s="53"/>
      <c r="CF40" s="53"/>
      <c r="CG40" s="53"/>
      <c r="CH40" s="53"/>
      <c r="CI40" s="53"/>
      <c r="CJ40" s="53"/>
      <c r="CK40" s="53"/>
      <c r="CL40" s="53"/>
      <c r="CM40" s="53"/>
      <c r="CN40" s="54"/>
    </row>
    <row r="41" spans="1:92" ht="18.75" x14ac:dyDescent="0.45">
      <c r="A41" s="69" t="s">
        <v>73</v>
      </c>
      <c r="B41" s="70"/>
      <c r="C41" s="71"/>
      <c r="D41" s="72">
        <v>46280</v>
      </c>
      <c r="E41" s="72">
        <v>46287</v>
      </c>
      <c r="F41" s="72">
        <v>46280</v>
      </c>
      <c r="G41" s="72">
        <v>46290</v>
      </c>
      <c r="H41" s="73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4"/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74"/>
      <c r="BJ41" s="74"/>
      <c r="BK41" s="74"/>
      <c r="BL41" s="74"/>
      <c r="BM41" s="74"/>
      <c r="BN41" s="74"/>
      <c r="BO41" s="74"/>
      <c r="BP41" s="74"/>
      <c r="BQ41" s="74"/>
      <c r="BR41" s="74"/>
      <c r="BS41" s="74"/>
      <c r="BT41" s="74"/>
      <c r="BU41" s="74"/>
      <c r="BV41" s="74"/>
      <c r="BW41" s="74"/>
      <c r="BX41" s="74"/>
      <c r="BY41" s="74"/>
      <c r="BZ41" s="74"/>
      <c r="CA41" s="74"/>
      <c r="CB41" s="74"/>
      <c r="CC41" s="74"/>
      <c r="CD41" s="74"/>
      <c r="CE41" s="74"/>
      <c r="CF41" s="74"/>
      <c r="CG41" s="74"/>
      <c r="CH41" s="74"/>
      <c r="CI41" s="74"/>
      <c r="CJ41" s="74"/>
      <c r="CK41" s="74"/>
      <c r="CL41" s="74"/>
      <c r="CM41" s="74"/>
      <c r="CN41" s="75"/>
    </row>
    <row r="42" spans="1:92" ht="18.75" x14ac:dyDescent="0.45">
      <c r="A42" s="103" t="s">
        <v>74</v>
      </c>
      <c r="B42" s="89"/>
      <c r="C42" s="110">
        <v>1</v>
      </c>
      <c r="D42" s="90">
        <v>46280</v>
      </c>
      <c r="E42" s="90">
        <v>46280</v>
      </c>
      <c r="F42" s="90">
        <v>46280</v>
      </c>
      <c r="G42" s="90">
        <v>46280</v>
      </c>
      <c r="H42" s="91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  <c r="AQ42" s="92"/>
      <c r="AR42" s="92"/>
      <c r="AS42" s="92"/>
      <c r="AT42" s="92"/>
      <c r="AU42" s="92"/>
      <c r="AV42" s="92"/>
      <c r="AW42" s="92"/>
      <c r="AX42" s="92"/>
      <c r="AY42" s="92"/>
      <c r="AZ42" s="92"/>
      <c r="BA42" s="92"/>
      <c r="BB42" s="92"/>
      <c r="BC42" s="92"/>
      <c r="BD42" s="92"/>
      <c r="BE42" s="92"/>
      <c r="BF42" s="92"/>
      <c r="BG42" s="92"/>
      <c r="BH42" s="92"/>
      <c r="BI42" s="92"/>
      <c r="BJ42" s="92"/>
      <c r="BK42" s="92"/>
      <c r="BL42" s="92"/>
      <c r="BM42" s="92"/>
      <c r="BN42" s="92"/>
      <c r="BO42" s="92"/>
      <c r="BP42" s="92"/>
      <c r="BQ42" s="92"/>
      <c r="BR42" s="92"/>
      <c r="BS42" s="92"/>
      <c r="BT42" s="92"/>
      <c r="BU42" s="92"/>
      <c r="BV42" s="92"/>
      <c r="BW42" s="92"/>
      <c r="BX42" s="92"/>
      <c r="BY42" s="92"/>
      <c r="BZ42" s="92"/>
      <c r="CA42" s="92"/>
      <c r="CB42" s="92"/>
      <c r="CC42" s="92"/>
      <c r="CD42" s="92"/>
      <c r="CE42" s="92"/>
      <c r="CF42" s="92"/>
      <c r="CG42" s="92"/>
      <c r="CH42" s="92"/>
      <c r="CI42" s="92"/>
      <c r="CJ42" s="92"/>
      <c r="CK42" s="92"/>
      <c r="CL42" s="92"/>
      <c r="CM42" s="92"/>
      <c r="CN42" s="93"/>
    </row>
    <row r="43" spans="1:92" s="88" customFormat="1" ht="18.75" x14ac:dyDescent="0.45">
      <c r="A43" s="104" t="s">
        <v>75</v>
      </c>
      <c r="B43" s="94"/>
      <c r="C43" s="111">
        <v>1</v>
      </c>
      <c r="D43" s="90">
        <v>46280</v>
      </c>
      <c r="E43" s="90">
        <v>46285</v>
      </c>
      <c r="F43" s="90">
        <v>46284</v>
      </c>
      <c r="G43" s="87">
        <v>46290</v>
      </c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  <c r="AD43" s="86"/>
      <c r="AE43" s="86"/>
      <c r="AF43" s="86"/>
      <c r="AG43" s="86"/>
      <c r="AH43" s="86"/>
      <c r="AI43" s="86"/>
      <c r="AJ43" s="86"/>
      <c r="AK43" s="86"/>
      <c r="AL43" s="86"/>
      <c r="AM43" s="86"/>
      <c r="AN43" s="86"/>
      <c r="AO43" s="86"/>
      <c r="AP43" s="86"/>
      <c r="AQ43" s="86"/>
      <c r="AR43" s="86"/>
      <c r="AS43" s="86"/>
      <c r="AT43" s="86"/>
      <c r="AU43" s="86"/>
      <c r="AV43" s="86"/>
      <c r="AW43" s="86"/>
      <c r="AX43" s="86"/>
      <c r="AY43" s="86"/>
      <c r="AZ43" s="86"/>
      <c r="BA43" s="86"/>
      <c r="BB43" s="86"/>
      <c r="BC43" s="86"/>
      <c r="BD43" s="86"/>
      <c r="BE43" s="86"/>
      <c r="BF43" s="86"/>
      <c r="BG43" s="86"/>
      <c r="BH43" s="86"/>
      <c r="BI43" s="86"/>
      <c r="BJ43" s="86"/>
      <c r="BK43" s="86"/>
      <c r="BL43" s="86"/>
      <c r="BM43" s="86"/>
      <c r="BN43" s="86"/>
      <c r="BO43" s="86"/>
      <c r="BP43" s="86"/>
      <c r="BQ43" s="86"/>
      <c r="BR43" s="86"/>
      <c r="BS43" s="86"/>
      <c r="BT43" s="86"/>
      <c r="BU43" s="86"/>
      <c r="BV43" s="86"/>
      <c r="BW43" s="86"/>
      <c r="BX43" s="86"/>
      <c r="BY43" s="86"/>
      <c r="BZ43" s="86"/>
      <c r="CA43" s="86"/>
      <c r="CB43" s="86"/>
      <c r="CC43" s="86"/>
      <c r="CD43" s="86"/>
      <c r="CE43" s="86"/>
      <c r="CF43" s="86"/>
      <c r="CG43" s="86"/>
      <c r="CH43" s="86"/>
      <c r="CI43" s="86"/>
      <c r="CJ43" s="86"/>
      <c r="CK43" s="86"/>
      <c r="CL43" s="86"/>
      <c r="CM43" s="86"/>
      <c r="CN43" s="86"/>
    </row>
    <row r="44" spans="1:92" s="97" customFormat="1" ht="18.75" x14ac:dyDescent="0.45">
      <c r="A44" s="104" t="s">
        <v>76</v>
      </c>
      <c r="B44" s="98"/>
      <c r="C44" s="112">
        <v>1</v>
      </c>
      <c r="D44" s="90">
        <v>46280</v>
      </c>
      <c r="E44" s="90">
        <v>46285</v>
      </c>
      <c r="F44" s="90">
        <v>46280</v>
      </c>
      <c r="G44" s="95">
        <v>46284</v>
      </c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6"/>
      <c r="AR44" s="96"/>
      <c r="AS44" s="96"/>
      <c r="AT44" s="96"/>
      <c r="AU44" s="96"/>
      <c r="AV44" s="96"/>
      <c r="AW44" s="96"/>
      <c r="AX44" s="96"/>
      <c r="AY44" s="96"/>
      <c r="AZ44" s="96"/>
      <c r="BA44" s="96"/>
      <c r="BB44" s="96"/>
      <c r="BC44" s="96"/>
      <c r="BD44" s="96"/>
      <c r="BE44" s="96"/>
      <c r="BF44" s="96"/>
      <c r="BG44" s="96"/>
      <c r="BH44" s="96"/>
      <c r="BI44" s="96"/>
      <c r="BJ44" s="96"/>
      <c r="BK44" s="96"/>
      <c r="BL44" s="96"/>
      <c r="BM44" s="96"/>
      <c r="BN44" s="96"/>
      <c r="BO44" s="96"/>
      <c r="BP44" s="96"/>
      <c r="BQ44" s="96"/>
      <c r="BR44" s="96"/>
      <c r="BS44" s="96"/>
      <c r="BT44" s="96"/>
      <c r="BU44" s="96"/>
      <c r="BV44" s="96"/>
      <c r="BW44" s="96"/>
      <c r="BX44" s="96"/>
      <c r="BY44" s="96"/>
      <c r="BZ44" s="96"/>
      <c r="CA44" s="96"/>
      <c r="CB44" s="96"/>
      <c r="CC44" s="96"/>
      <c r="CD44" s="96"/>
      <c r="CE44" s="96"/>
      <c r="CF44" s="96"/>
      <c r="CG44" s="96"/>
      <c r="CH44" s="96"/>
      <c r="CI44" s="96"/>
      <c r="CJ44" s="96"/>
      <c r="CK44" s="96"/>
      <c r="CL44" s="96"/>
      <c r="CM44" s="96"/>
      <c r="CN44" s="96"/>
    </row>
    <row r="45" spans="1:92" ht="18.75" x14ac:dyDescent="0.45">
      <c r="A45" s="68"/>
      <c r="B45" s="55"/>
      <c r="C45" s="56"/>
      <c r="D45" s="56"/>
      <c r="E45" s="56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/>
      <c r="BN45" s="55"/>
      <c r="BO45" s="55"/>
      <c r="BP45" s="55"/>
      <c r="BQ45" s="55"/>
      <c r="BR45" s="55"/>
      <c r="BS45" s="55"/>
      <c r="BT45" s="55"/>
      <c r="BU45" s="55"/>
      <c r="BV45" s="55"/>
      <c r="BW45" s="55"/>
      <c r="BX45" s="55"/>
      <c r="BY45" s="55"/>
      <c r="BZ45" s="55"/>
      <c r="CA45" s="55"/>
      <c r="CB45" s="55"/>
      <c r="CC45" s="55"/>
      <c r="CD45" s="55"/>
      <c r="CE45" s="55"/>
      <c r="CF45" s="55"/>
      <c r="CG45" s="55"/>
      <c r="CH45" s="55"/>
      <c r="CI45" s="55"/>
      <c r="CJ45" s="55"/>
      <c r="CK45" s="55"/>
      <c r="CL45" s="55"/>
      <c r="CM45" s="55"/>
      <c r="CN45" s="55"/>
    </row>
    <row r="46" spans="1:92" ht="18.75" x14ac:dyDescent="0.45">
      <c r="A46" s="1"/>
      <c r="B46" s="1"/>
      <c r="C46" s="2"/>
      <c r="D46" s="2"/>
      <c r="E46" s="2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</row>
    <row r="47" spans="1:92" ht="18.75" x14ac:dyDescent="0.45">
      <c r="A47" s="1"/>
      <c r="B47" s="1"/>
      <c r="C47" s="2"/>
      <c r="D47" s="2"/>
      <c r="E47" s="2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</row>
    <row r="48" spans="1:92" ht="18.75" x14ac:dyDescent="0.45">
      <c r="A48" s="1"/>
      <c r="B48" s="1"/>
      <c r="C48" s="2"/>
      <c r="D48" s="2"/>
      <c r="E48" s="2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</row>
    <row r="49" spans="1:92" ht="18.75" x14ac:dyDescent="0.45">
      <c r="A49" s="1"/>
      <c r="B49" s="1"/>
      <c r="C49" s="2"/>
      <c r="D49" s="2"/>
      <c r="E49" s="2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</row>
    <row r="50" spans="1:92" ht="18.75" x14ac:dyDescent="0.45">
      <c r="A50" s="1"/>
      <c r="B50" s="1"/>
      <c r="C50" s="2"/>
      <c r="D50" s="2"/>
      <c r="E50" s="2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</row>
    <row r="51" spans="1:92" ht="18.75" x14ac:dyDescent="0.45">
      <c r="A51" s="1"/>
      <c r="B51" s="1"/>
      <c r="C51" s="2"/>
      <c r="D51" s="2"/>
      <c r="E51" s="2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</row>
  </sheetData>
  <mergeCells count="28"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</mergeCells>
  <phoneticPr fontId="19"/>
  <conditionalFormatting sqref="F9:G41 G43:G44">
    <cfRule type="expression" dxfId="0" priority="3">
      <formula>D9&lt;F9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2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8D2A65F-21CC-403E-82EF-9B2DA85938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制作進捗確認表</vt:lpstr>
      <vt:lpstr>進捗確認表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2026-10-28T15:14:25Z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