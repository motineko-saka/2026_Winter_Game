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codeName="ThisWorkbook"/>
  <xr:revisionPtr revIDLastSave="0" documentId="13_ncr:1_{61B04CC0-DB5C-422E-89B9-F64331669267}" xr6:coauthVersionLast="47" xr6:coauthVersionMax="47" xr10:uidLastSave="{00000000-0000-0000-0000-000000000000}"/>
  <bookViews>
    <workbookView xWindow="-24315" yWindow="2670" windowWidth="21600" windowHeight="11295" firstSheet="1" activeTab="2" xr2:uid="{00000000-000D-0000-FFFF-FFFF00000000}"/>
  </bookViews>
  <sheets>
    <sheet name="制作進捗確認表" sheetId="16" state="hidden" r:id="rId1"/>
    <sheet name="進捗確認表" sheetId="18" r:id="rId2"/>
    <sheet name="Sheet2" sheetId="20" r:id="rId3"/>
  </sheets>
  <definedNames>
    <definedName name="タスク_開始" localSheetId="1">#REF!</definedName>
    <definedName name="タスク_開始" localSheetId="0">#REF!</definedName>
    <definedName name="タスク_終了" localSheetId="1">#REF!</definedName>
    <definedName name="タスク_終了" localSheetId="0">#REF!</definedName>
    <definedName name="タスク_進捗状況" localSheetId="1">#REF!</definedName>
    <definedName name="タスク_進捗状況" localSheetId="0">#REF!</definedName>
    <definedName name="プロジェクトの開始" localSheetId="1">#REF!</definedName>
    <definedName name="プロジェクトの開始">#REF!</definedName>
    <definedName name="週表示" localSheetId="1">#REF!</definedName>
    <definedName name="週表示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20" l="1"/>
  <c r="I7" i="20" s="1"/>
  <c r="J7" i="20" s="1"/>
  <c r="K7" i="20" s="1"/>
  <c r="L7" i="20" s="1"/>
  <c r="H7" i="18"/>
  <c r="I7" i="18" s="1"/>
  <c r="J7" i="18" s="1"/>
  <c r="K7" i="18" s="1"/>
  <c r="L7" i="18" s="1"/>
  <c r="H6" i="18"/>
  <c r="M6" i="18" s="1"/>
  <c r="H7" i="16"/>
  <c r="H6" i="20" l="1"/>
  <c r="M6" i="20" s="1"/>
  <c r="R6" i="20" s="1"/>
  <c r="M7" i="18"/>
  <c r="N7" i="18" s="1"/>
  <c r="O7" i="18" s="1"/>
  <c r="P7" i="18" s="1"/>
  <c r="Q7" i="18" s="1"/>
  <c r="R6" i="18"/>
  <c r="I7" i="16"/>
  <c r="J7" i="16" s="1"/>
  <c r="K7" i="16" s="1"/>
  <c r="L7" i="16" s="1"/>
  <c r="M7" i="20" l="1"/>
  <c r="N7" i="20" s="1"/>
  <c r="O7" i="20" s="1"/>
  <c r="P7" i="20" s="1"/>
  <c r="Q7" i="20" s="1"/>
  <c r="R7" i="20"/>
  <c r="S7" i="20" s="1"/>
  <c r="T7" i="20" s="1"/>
  <c r="U7" i="20" s="1"/>
  <c r="V7" i="20" s="1"/>
  <c r="W6" i="20"/>
  <c r="R7" i="18"/>
  <c r="S7" i="18" s="1"/>
  <c r="T7" i="18" s="1"/>
  <c r="U7" i="18" s="1"/>
  <c r="V7" i="18" s="1"/>
  <c r="W6" i="18"/>
  <c r="H6" i="16"/>
  <c r="M6" i="16" s="1"/>
  <c r="W7" i="20" l="1"/>
  <c r="X7" i="20" s="1"/>
  <c r="Y7" i="20" s="1"/>
  <c r="Z7" i="20" s="1"/>
  <c r="AA7" i="20" s="1"/>
  <c r="AB6" i="20"/>
  <c r="W7" i="18"/>
  <c r="X7" i="18" s="1"/>
  <c r="Y7" i="18" s="1"/>
  <c r="Z7" i="18" s="1"/>
  <c r="AA7" i="18" s="1"/>
  <c r="AB6" i="18"/>
  <c r="M7" i="16"/>
  <c r="N7" i="16" s="1"/>
  <c r="O7" i="16" s="1"/>
  <c r="P7" i="16" s="1"/>
  <c r="Q7" i="16" s="1"/>
  <c r="R6" i="16"/>
  <c r="AB7" i="20" l="1"/>
  <c r="AC7" i="20" s="1"/>
  <c r="AD7" i="20" s="1"/>
  <c r="AE7" i="20" s="1"/>
  <c r="AF7" i="20" s="1"/>
  <c r="AG6" i="20"/>
  <c r="AB7" i="18"/>
  <c r="AC7" i="18" s="1"/>
  <c r="AD7" i="18" s="1"/>
  <c r="AE7" i="18" s="1"/>
  <c r="AF7" i="18" s="1"/>
  <c r="AG6" i="18"/>
  <c r="R7" i="16"/>
  <c r="S7" i="16" s="1"/>
  <c r="T7" i="16" s="1"/>
  <c r="U7" i="16" s="1"/>
  <c r="V7" i="16" s="1"/>
  <c r="W6" i="16"/>
  <c r="AG7" i="20" l="1"/>
  <c r="AH7" i="20" s="1"/>
  <c r="AI7" i="20" s="1"/>
  <c r="AJ7" i="20" s="1"/>
  <c r="AK7" i="20" s="1"/>
  <c r="AL6" i="20"/>
  <c r="AG7" i="18"/>
  <c r="AH7" i="18" s="1"/>
  <c r="AI7" i="18" s="1"/>
  <c r="AJ7" i="18" s="1"/>
  <c r="AK7" i="18" s="1"/>
  <c r="AL6" i="18"/>
  <c r="AB6" i="16"/>
  <c r="W7" i="16"/>
  <c r="X7" i="16" s="1"/>
  <c r="Y7" i="16" s="1"/>
  <c r="Z7" i="16" s="1"/>
  <c r="AA7" i="16" s="1"/>
  <c r="AL7" i="20" l="1"/>
  <c r="AM7" i="20" s="1"/>
  <c r="AN7" i="20" s="1"/>
  <c r="AO7" i="20" s="1"/>
  <c r="AP7" i="20" s="1"/>
  <c r="AQ6" i="20"/>
  <c r="AL7" i="18"/>
  <c r="AM7" i="18" s="1"/>
  <c r="AN7" i="18" s="1"/>
  <c r="AO7" i="18" s="1"/>
  <c r="AP7" i="18" s="1"/>
  <c r="AQ6" i="18"/>
  <c r="AB7" i="16"/>
  <c r="AC7" i="16" s="1"/>
  <c r="AD7" i="16" s="1"/>
  <c r="AE7" i="16" s="1"/>
  <c r="AF7" i="16" s="1"/>
  <c r="AG6" i="16"/>
  <c r="AQ7" i="20" l="1"/>
  <c r="AR7" i="20" s="1"/>
  <c r="AS7" i="20" s="1"/>
  <c r="AT7" i="20" s="1"/>
  <c r="AU7" i="20" s="1"/>
  <c r="AV6" i="20"/>
  <c r="AQ7" i="18"/>
  <c r="AR7" i="18" s="1"/>
  <c r="AS7" i="18" s="1"/>
  <c r="AT7" i="18" s="1"/>
  <c r="AU7" i="18" s="1"/>
  <c r="AV6" i="18"/>
  <c r="AL6" i="16"/>
  <c r="AG7" i="16"/>
  <c r="AH7" i="16" s="1"/>
  <c r="AI7" i="16" s="1"/>
  <c r="AJ7" i="16" s="1"/>
  <c r="AK7" i="16" s="1"/>
  <c r="AV7" i="20" l="1"/>
  <c r="AW7" i="20" s="1"/>
  <c r="AX7" i="20" s="1"/>
  <c r="AY7" i="20" s="1"/>
  <c r="AZ7" i="20" s="1"/>
  <c r="BA6" i="20"/>
  <c r="AV7" i="18"/>
  <c r="AW7" i="18" s="1"/>
  <c r="AX7" i="18" s="1"/>
  <c r="AY7" i="18" s="1"/>
  <c r="AZ7" i="18" s="1"/>
  <c r="BA6" i="18"/>
  <c r="AL7" i="16"/>
  <c r="AM7" i="16" s="1"/>
  <c r="AN7" i="16" s="1"/>
  <c r="AO7" i="16" s="1"/>
  <c r="AP7" i="16" s="1"/>
  <c r="AQ6" i="16"/>
  <c r="BA7" i="20" l="1"/>
  <c r="BB7" i="20" s="1"/>
  <c r="BC7" i="20" s="1"/>
  <c r="BD7" i="20" s="1"/>
  <c r="BE7" i="20" s="1"/>
  <c r="BF6" i="20"/>
  <c r="BA7" i="18"/>
  <c r="BB7" i="18" s="1"/>
  <c r="BC7" i="18" s="1"/>
  <c r="BD7" i="18" s="1"/>
  <c r="BE7" i="18" s="1"/>
  <c r="BF6" i="18"/>
  <c r="AQ7" i="16"/>
  <c r="AR7" i="16" s="1"/>
  <c r="AS7" i="16" s="1"/>
  <c r="AT7" i="16" s="1"/>
  <c r="AU7" i="16" s="1"/>
  <c r="AV6" i="16"/>
  <c r="BF7" i="20" l="1"/>
  <c r="BG7" i="20" s="1"/>
  <c r="BH7" i="20" s="1"/>
  <c r="BI7" i="20" s="1"/>
  <c r="BJ7" i="20" s="1"/>
  <c r="BK6" i="20"/>
  <c r="BF7" i="18"/>
  <c r="BG7" i="18" s="1"/>
  <c r="BH7" i="18" s="1"/>
  <c r="BI7" i="18" s="1"/>
  <c r="BJ7" i="18" s="1"/>
  <c r="BK6" i="18"/>
  <c r="BA6" i="16"/>
  <c r="AV7" i="16"/>
  <c r="AW7" i="16" s="1"/>
  <c r="AX7" i="16" s="1"/>
  <c r="AY7" i="16" s="1"/>
  <c r="AZ7" i="16" s="1"/>
  <c r="BK7" i="20" l="1"/>
  <c r="BL7" i="20" s="1"/>
  <c r="BM7" i="20" s="1"/>
  <c r="BN7" i="20" s="1"/>
  <c r="BO7" i="20" s="1"/>
  <c r="BP6" i="20"/>
  <c r="BK7" i="18"/>
  <c r="BL7" i="18" s="1"/>
  <c r="BM7" i="18" s="1"/>
  <c r="BN7" i="18" s="1"/>
  <c r="BO7" i="18" s="1"/>
  <c r="BP6" i="18"/>
  <c r="BF6" i="16"/>
  <c r="BA7" i="16"/>
  <c r="BB7" i="16" s="1"/>
  <c r="BC7" i="16" s="1"/>
  <c r="BD7" i="16" s="1"/>
  <c r="BE7" i="16" s="1"/>
  <c r="BP7" i="20" l="1"/>
  <c r="BQ7" i="20" s="1"/>
  <c r="BR7" i="20" s="1"/>
  <c r="BS7" i="20" s="1"/>
  <c r="BT7" i="20" s="1"/>
  <c r="BU6" i="20"/>
  <c r="BP7" i="18"/>
  <c r="BQ7" i="18" s="1"/>
  <c r="BR7" i="18" s="1"/>
  <c r="BS7" i="18" s="1"/>
  <c r="BT7" i="18" s="1"/>
  <c r="BU6" i="18"/>
  <c r="BF7" i="16"/>
  <c r="BG7" i="16" s="1"/>
  <c r="BH7" i="16" s="1"/>
  <c r="BI7" i="16" s="1"/>
  <c r="BJ7" i="16" s="1"/>
  <c r="BK6" i="16"/>
  <c r="BU7" i="20" l="1"/>
  <c r="BV7" i="20" s="1"/>
  <c r="BW7" i="20" s="1"/>
  <c r="BX7" i="20" s="1"/>
  <c r="BY7" i="20" s="1"/>
  <c r="BZ6" i="20"/>
  <c r="BU7" i="18"/>
  <c r="BV7" i="18" s="1"/>
  <c r="BW7" i="18" s="1"/>
  <c r="BX7" i="18" s="1"/>
  <c r="BY7" i="18" s="1"/>
  <c r="BZ6" i="18"/>
  <c r="BP6" i="16"/>
  <c r="BK7" i="16"/>
  <c r="BL7" i="16" s="1"/>
  <c r="BM7" i="16" s="1"/>
  <c r="BN7" i="16" s="1"/>
  <c r="BO7" i="16" s="1"/>
  <c r="BZ7" i="20" l="1"/>
  <c r="CA7" i="20" s="1"/>
  <c r="CB7" i="20" s="1"/>
  <c r="CC7" i="20" s="1"/>
  <c r="CD7" i="20" s="1"/>
  <c r="CE6" i="20"/>
  <c r="BZ7" i="18"/>
  <c r="CA7" i="18" s="1"/>
  <c r="CB7" i="18" s="1"/>
  <c r="CC7" i="18" s="1"/>
  <c r="CD7" i="18" s="1"/>
  <c r="CE6" i="18"/>
  <c r="BP7" i="16"/>
  <c r="BQ7" i="16" s="1"/>
  <c r="BR7" i="16" s="1"/>
  <c r="BS7" i="16" s="1"/>
  <c r="BT7" i="16" s="1"/>
  <c r="BU6" i="16"/>
  <c r="CE7" i="20" l="1"/>
  <c r="CF7" i="20" s="1"/>
  <c r="CG7" i="20" s="1"/>
  <c r="CH7" i="20" s="1"/>
  <c r="CI7" i="20" s="1"/>
  <c r="CJ6" i="20"/>
  <c r="CJ7" i="20" s="1"/>
  <c r="CK7" i="20" s="1"/>
  <c r="CL7" i="20" s="1"/>
  <c r="CM7" i="20" s="1"/>
  <c r="CN7" i="20" s="1"/>
  <c r="CE7" i="18"/>
  <c r="CF7" i="18" s="1"/>
  <c r="CG7" i="18" s="1"/>
  <c r="CH7" i="18" s="1"/>
  <c r="CI7" i="18" s="1"/>
  <c r="CJ6" i="18"/>
  <c r="CJ7" i="18" s="1"/>
  <c r="CK7" i="18" s="1"/>
  <c r="CL7" i="18" s="1"/>
  <c r="CM7" i="18" s="1"/>
  <c r="CN7" i="18" s="1"/>
  <c r="BU7" i="16"/>
  <c r="BV7" i="16" s="1"/>
  <c r="BW7" i="16" s="1"/>
  <c r="BX7" i="16" s="1"/>
  <c r="BY7" i="16" s="1"/>
  <c r="BZ6" i="16"/>
  <c r="BZ7" i="16" l="1"/>
  <c r="CA7" i="16" s="1"/>
  <c r="CB7" i="16" s="1"/>
  <c r="CC7" i="16" s="1"/>
  <c r="CD7" i="16" s="1"/>
  <c r="CE6" i="16"/>
  <c r="CE7" i="16" l="1"/>
  <c r="CF7" i="16" s="1"/>
  <c r="CG7" i="16" s="1"/>
  <c r="CH7" i="16" s="1"/>
  <c r="CI7" i="16" s="1"/>
  <c r="CJ6" i="16"/>
  <c r="CJ7" i="16" s="1"/>
  <c r="CK7" i="16" s="1"/>
  <c r="CL7" i="16" s="1"/>
  <c r="CM7" i="16" s="1"/>
  <c r="CN7" i="16" s="1"/>
</calcChain>
</file>

<file path=xl/sharedStrings.xml><?xml version="1.0" encoding="utf-8"?>
<sst xmlns="http://schemas.openxmlformats.org/spreadsheetml/2006/main" count="429" uniqueCount="95">
  <si>
    <t>企画制作　進捗管理表</t>
    <phoneticPr fontId="19"/>
  </si>
  <si>
    <t xml:space="preserve"> 制作開始日:</t>
    <phoneticPr fontId="19"/>
  </si>
  <si>
    <t>チーム名：幸せの曲がり角</t>
    <rPh sb="5" eb="6">
      <t>シアワ</t>
    </rPh>
    <rPh sb="8" eb="9">
      <t>マ</t>
    </rPh>
    <rPh sb="11" eb="12">
      <t>カド</t>
    </rPh>
    <phoneticPr fontId="19"/>
  </si>
  <si>
    <t>リーダー：遠藤直樹</t>
    <rPh sb="5" eb="9">
      <t>エンドウナオキ</t>
    </rPh>
    <phoneticPr fontId="19"/>
  </si>
  <si>
    <t>メンバー：押川征矢　勝吉虹斗</t>
    <rPh sb="5" eb="7">
      <t>オシカワ</t>
    </rPh>
    <rPh sb="7" eb="8">
      <t>セイ</t>
    </rPh>
    <rPh sb="8" eb="9">
      <t>ヤ</t>
    </rPh>
    <rPh sb="10" eb="12">
      <t>カツヨシ</t>
    </rPh>
    <rPh sb="12" eb="13">
      <t>ニジ</t>
    </rPh>
    <rPh sb="13" eb="14">
      <t>ト</t>
    </rPh>
    <phoneticPr fontId="19"/>
  </si>
  <si>
    <t>α</t>
  </si>
  <si>
    <t>β</t>
  </si>
  <si>
    <t>FiX</t>
  </si>
  <si>
    <t>予定</t>
    <rPh sb="0" eb="2">
      <t>ヨテイ</t>
    </rPh>
    <phoneticPr fontId="19"/>
  </si>
  <si>
    <t>実績</t>
    <rPh sb="0" eb="2">
      <t>ジッセキ</t>
    </rPh>
    <phoneticPr fontId="19"/>
  </si>
  <si>
    <t>タスク名</t>
    <rPh sb="3" eb="4">
      <t>メイ</t>
    </rPh>
    <phoneticPr fontId="19"/>
  </si>
  <si>
    <t>担当者</t>
  </si>
  <si>
    <t>進捗(%)</t>
    <phoneticPr fontId="19"/>
  </si>
  <si>
    <t>開始日</t>
    <rPh sb="2" eb="3">
      <t>ビ</t>
    </rPh>
    <phoneticPr fontId="19"/>
  </si>
  <si>
    <t>終了日</t>
    <rPh sb="2" eb="3">
      <t>テイジツ</t>
    </rPh>
    <phoneticPr fontId="19"/>
  </si>
  <si>
    <t>月</t>
    <rPh sb="0" eb="1">
      <t>ゲツ</t>
    </rPh>
    <phoneticPr fontId="19"/>
  </si>
  <si>
    <t>火</t>
    <rPh sb="0" eb="1">
      <t>カ</t>
    </rPh>
    <phoneticPr fontId="19"/>
  </si>
  <si>
    <t>水</t>
    <rPh sb="0" eb="1">
      <t>スイ</t>
    </rPh>
    <phoneticPr fontId="19"/>
  </si>
  <si>
    <t>木</t>
    <rPh sb="0" eb="1">
      <t>モク</t>
    </rPh>
    <phoneticPr fontId="19"/>
  </si>
  <si>
    <t>金</t>
    <rPh sb="0" eb="1">
      <t>キン</t>
    </rPh>
    <phoneticPr fontId="19"/>
  </si>
  <si>
    <t>プレイヤーキャラクター</t>
    <phoneticPr fontId="19"/>
  </si>
  <si>
    <t>全員</t>
    <rPh sb="0" eb="2">
      <t>ゼンイン</t>
    </rPh>
    <phoneticPr fontId="19"/>
  </si>
  <si>
    <t>移動</t>
    <rPh sb="0" eb="2">
      <t>イドウ</t>
    </rPh>
    <phoneticPr fontId="19"/>
  </si>
  <si>
    <t>勝吉</t>
    <rPh sb="0" eb="2">
      <t>カツヨシ</t>
    </rPh>
    <phoneticPr fontId="19"/>
  </si>
  <si>
    <t>アイテムの適用</t>
    <rPh sb="5" eb="7">
      <t>テキヨウ</t>
    </rPh>
    <phoneticPr fontId="19"/>
  </si>
  <si>
    <t>押川</t>
    <rPh sb="0" eb="2">
      <t>オシカワ</t>
    </rPh>
    <phoneticPr fontId="19"/>
  </si>
  <si>
    <t>描画</t>
    <rPh sb="0" eb="2">
      <t>ビョウガ</t>
    </rPh>
    <phoneticPr fontId="19"/>
  </si>
  <si>
    <t>画像制作</t>
  </si>
  <si>
    <t>遠藤</t>
    <rPh sb="0" eb="2">
      <t>エンドウ</t>
    </rPh>
    <phoneticPr fontId="19"/>
  </si>
  <si>
    <t>タスク名５(6以上は行を挿入)</t>
    <rPh sb="3" eb="4">
      <t>メイ</t>
    </rPh>
    <rPh sb="7" eb="9">
      <t>イジョウ</t>
    </rPh>
    <rPh sb="10" eb="11">
      <t>ギョウ</t>
    </rPh>
    <rPh sb="12" eb="14">
      <t>ソウニュウ</t>
    </rPh>
    <phoneticPr fontId="19"/>
  </si>
  <si>
    <t>マップ</t>
    <phoneticPr fontId="19"/>
  </si>
  <si>
    <t>マップチップ</t>
    <phoneticPr fontId="19"/>
  </si>
  <si>
    <t>オブジェクト</t>
    <phoneticPr fontId="19"/>
  </si>
  <si>
    <t>マップ雰囲気</t>
    <rPh sb="3" eb="6">
      <t>フンイキ</t>
    </rPh>
    <phoneticPr fontId="19"/>
  </si>
  <si>
    <t>マッププログラム</t>
    <phoneticPr fontId="19"/>
  </si>
  <si>
    <t>マップ描画</t>
    <rPh sb="3" eb="5">
      <t>ビョウガ</t>
    </rPh>
    <phoneticPr fontId="19"/>
  </si>
  <si>
    <t>敵の描写</t>
    <rPh sb="0" eb="1">
      <t>テキ</t>
    </rPh>
    <rPh sb="2" eb="4">
      <t>ビョウシャ</t>
    </rPh>
    <phoneticPr fontId="19"/>
  </si>
  <si>
    <t>全員</t>
  </si>
  <si>
    <t>遠藤</t>
  </si>
  <si>
    <t>当たり判定</t>
    <rPh sb="0" eb="1">
      <t>ア</t>
    </rPh>
    <rPh sb="3" eb="5">
      <t>ハンテイ</t>
    </rPh>
    <phoneticPr fontId="19"/>
  </si>
  <si>
    <t>タスク名４</t>
    <rPh sb="3" eb="4">
      <t>メイ</t>
    </rPh>
    <phoneticPr fontId="19"/>
  </si>
  <si>
    <t>タスク名５(6以上は行を挿入)</t>
    <rPh sb="3" eb="4">
      <t>メイ</t>
    </rPh>
    <phoneticPr fontId="19"/>
  </si>
  <si>
    <t>UI</t>
  </si>
  <si>
    <t>タイトル画像</t>
  </si>
  <si>
    <t>ゲームオーバー画像</t>
  </si>
  <si>
    <t>ミニマップ</t>
    <phoneticPr fontId="19"/>
  </si>
  <si>
    <t>予備作業期間</t>
    <rPh sb="0" eb="2">
      <t>ヨビ</t>
    </rPh>
    <rPh sb="2" eb="4">
      <t>サギョウ</t>
    </rPh>
    <rPh sb="4" eb="6">
      <t>キカン</t>
    </rPh>
    <phoneticPr fontId="19"/>
  </si>
  <si>
    <t>タスク名１</t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</si>
  <si>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</si>
  <si>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デコイ生成</t>
  </si>
  <si>
    <t>雪でのプレイヤー移動</t>
  </si>
  <si>
    <t>マップチップ（256）</t>
  </si>
  <si>
    <t>アイテム</t>
  </si>
  <si>
    <t>マップ製作</t>
  </si>
  <si>
    <t>マップ当たり判定</t>
  </si>
  <si>
    <t>カメラスクロール</t>
  </si>
  <si>
    <t>押川</t>
  </si>
  <si>
    <t>移動</t>
  </si>
  <si>
    <t>遠藤　勝吉</t>
  </si>
  <si>
    <t>行動アルゴリズム</t>
  </si>
  <si>
    <t>索敵</t>
  </si>
  <si>
    <t>勝吉</t>
  </si>
  <si>
    <t>アイテム画像</t>
  </si>
  <si>
    <t>メンバー：</t>
    <phoneticPr fontId="19"/>
  </si>
  <si>
    <t>ゲームシステム関係</t>
    <rPh sb="7" eb="9">
      <t>カンケイ</t>
    </rPh>
    <phoneticPr fontId="19"/>
  </si>
  <si>
    <t>カメラ</t>
    <phoneticPr fontId="19"/>
  </si>
  <si>
    <t>セーブ</t>
    <phoneticPr fontId="19"/>
  </si>
  <si>
    <t>マップ</t>
    <phoneticPr fontId="19"/>
  </si>
  <si>
    <t>バトルシーン</t>
    <phoneticPr fontId="19"/>
  </si>
  <si>
    <t>オプション</t>
    <phoneticPr fontId="19"/>
  </si>
  <si>
    <t>アイテム</t>
    <phoneticPr fontId="19"/>
  </si>
  <si>
    <t>パラメータ</t>
    <phoneticPr fontId="19"/>
  </si>
  <si>
    <t>ビジュアル</t>
    <phoneticPr fontId="19"/>
  </si>
  <si>
    <t>資料</t>
    <rPh sb="0" eb="2">
      <t>シリョウ</t>
    </rPh>
    <phoneticPr fontId="19"/>
  </si>
  <si>
    <t>ゲーム概要書</t>
    <rPh sb="3" eb="6">
      <t>ガイヨウショ</t>
    </rPh>
    <phoneticPr fontId="19"/>
  </si>
  <si>
    <t>企画書</t>
    <rPh sb="0" eb="3">
      <t>キカクショ</t>
    </rPh>
    <phoneticPr fontId="19"/>
  </si>
  <si>
    <t>仕様書</t>
    <rPh sb="0" eb="3">
      <t>シヨウショ</t>
    </rPh>
    <phoneticPr fontId="19"/>
  </si>
  <si>
    <t>プレイヤー立ち絵</t>
    <rPh sb="5" eb="6">
      <t>タ</t>
    </rPh>
    <rPh sb="7" eb="8">
      <t>エ</t>
    </rPh>
    <phoneticPr fontId="19"/>
  </si>
  <si>
    <t>モンスター</t>
    <phoneticPr fontId="19"/>
  </si>
  <si>
    <t>マップ</t>
    <phoneticPr fontId="19"/>
  </si>
  <si>
    <t>戦闘シーン</t>
    <rPh sb="0" eb="2">
      <t>セントウ</t>
    </rPh>
    <phoneticPr fontId="19"/>
  </si>
  <si>
    <t>立ち絵</t>
    <rPh sb="0" eb="1">
      <t>タ</t>
    </rPh>
    <rPh sb="2" eb="3">
      <t>エ</t>
    </rPh>
    <phoneticPr fontId="19"/>
  </si>
  <si>
    <t>ドット絵</t>
    <rPh sb="3" eb="4">
      <t>エ</t>
    </rPh>
    <phoneticPr fontId="19"/>
  </si>
  <si>
    <t>全体ビジュアル</t>
    <rPh sb="0" eb="2">
      <t>ゼンタイ</t>
    </rPh>
    <phoneticPr fontId="19"/>
  </si>
  <si>
    <t>オブジェクト類</t>
    <rPh sb="6" eb="7">
      <t>ルイ</t>
    </rPh>
    <phoneticPr fontId="19"/>
  </si>
  <si>
    <t>内部</t>
    <rPh sb="0" eb="2">
      <t>ナイブ</t>
    </rPh>
    <phoneticPr fontId="19"/>
  </si>
  <si>
    <t>外側</t>
    <rPh sb="0" eb="2">
      <t>ソトガワ</t>
    </rPh>
    <phoneticPr fontId="19"/>
  </si>
  <si>
    <t>アイテム</t>
    <phoneticPr fontId="19"/>
  </si>
  <si>
    <t>ロザリオ</t>
    <phoneticPr fontId="19"/>
  </si>
  <si>
    <t>オーブ</t>
    <phoneticPr fontId="19"/>
  </si>
  <si>
    <t>その他アイテム</t>
    <rPh sb="2" eb="3">
      <t>タ</t>
    </rPh>
    <phoneticPr fontId="19"/>
  </si>
  <si>
    <t>UI</t>
    <phoneticPr fontId="19"/>
  </si>
  <si>
    <t>システム関連</t>
    <rPh sb="4" eb="6">
      <t>カンレン</t>
    </rPh>
    <phoneticPr fontId="19"/>
  </si>
  <si>
    <t>チーム名：まりあ様親衛隊</t>
    <rPh sb="8" eb="9">
      <t>サマ</t>
    </rPh>
    <rPh sb="9" eb="12">
      <t>シンエイタイ</t>
    </rPh>
    <phoneticPr fontId="19"/>
  </si>
  <si>
    <t>マップシーン</t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</si>
</sst>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d"/>
    <numFmt numFmtId="181" formatCode="m&quot;月&quot;d&quot;日&quot;;@"/>
    <numFmt numFmtId="182" formatCode="yyyy/m/d\ \,\ aaa"/>
    <numFmt numFmtId="183" formatCode="yyyy&quot;年&quot;m&quot;月&quot;d&quot;日&quot;\ \ \ &quot;(&quot;aaa&quot;)&quot;"/>
  </numFmts>
  <fonts count="31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sz val="12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0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1"/>
      <name val="メイリオ"/>
      <family val="3"/>
      <charset val="128"/>
    </font>
    <font>
      <b/>
      <sz val="11"/>
      <name val="メイリオ"/>
      <family val="3"/>
      <charset val="128"/>
    </font>
  </fonts>
  <fills count="4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3" fillId="8" borderId="0" applyNumberFormat="0" applyBorder="0" applyAlignment="0" applyProtection="0"/>
    <xf numFmtId="0" fontId="14" fillId="9" borderId="0" applyNumberFormat="0" applyBorder="0" applyAlignment="0" applyProtection="0"/>
    <xf numFmtId="0" fontId="12" fillId="10" borderId="3" applyNumberFormat="0" applyAlignment="0" applyProtection="0"/>
    <xf numFmtId="0" fontId="15" fillId="11" borderId="4" applyNumberFormat="0" applyAlignment="0" applyProtection="0"/>
    <xf numFmtId="0" fontId="4" fillId="11" borderId="3" applyNumberFormat="0" applyAlignment="0" applyProtection="0"/>
    <xf numFmtId="0" fontId="13" fillId="0" borderId="5" applyNumberFormat="0" applyFill="0" applyAlignment="0" applyProtection="0"/>
    <xf numFmtId="0" fontId="5" fillId="12" borderId="6" applyNumberFormat="0" applyAlignment="0" applyProtection="0"/>
    <xf numFmtId="0" fontId="18" fillId="0" borderId="0" applyNumberFormat="0" applyFill="0" applyBorder="0" applyAlignment="0" applyProtection="0"/>
    <xf numFmtId="0" fontId="1" fillId="13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126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39" borderId="9" xfId="0" applyFont="1" applyFill="1" applyBorder="1" applyAlignment="1" applyProtection="1">
      <alignment shrinkToFit="1"/>
      <protection locked="0"/>
    </xf>
    <xf numFmtId="0" fontId="20" fillId="39" borderId="9" xfId="0" applyFont="1" applyFill="1" applyBorder="1" applyProtection="1">
      <protection locked="0"/>
    </xf>
    <xf numFmtId="0" fontId="20" fillId="39" borderId="9" xfId="0" applyFont="1" applyFill="1" applyBorder="1" applyAlignment="1" applyProtection="1">
      <alignment horizontal="center"/>
      <protection locked="0"/>
    </xf>
    <xf numFmtId="181" fontId="20" fillId="39" borderId="9" xfId="0" applyNumberFormat="1" applyFont="1" applyFill="1" applyBorder="1" applyProtection="1">
      <protection locked="0"/>
    </xf>
    <xf numFmtId="180" fontId="21" fillId="39" borderId="10" xfId="0" applyNumberFormat="1" applyFont="1" applyFill="1" applyBorder="1" applyAlignment="1" applyProtection="1">
      <alignment horizontal="center"/>
      <protection locked="0"/>
    </xf>
    <xf numFmtId="0" fontId="20" fillId="39" borderId="11" xfId="0" applyFont="1" applyFill="1" applyBorder="1" applyProtection="1">
      <protection locked="0"/>
    </xf>
    <xf numFmtId="0" fontId="20" fillId="39" borderId="12" xfId="0" applyFont="1" applyFill="1" applyBorder="1" applyProtection="1">
      <protection locked="0"/>
    </xf>
    <xf numFmtId="0" fontId="20" fillId="38" borderId="9" xfId="0" applyFont="1" applyFill="1" applyBorder="1" applyProtection="1">
      <protection locked="0"/>
    </xf>
    <xf numFmtId="0" fontId="20" fillId="38" borderId="9" xfId="0" applyFont="1" applyFill="1" applyBorder="1" applyAlignment="1" applyProtection="1">
      <alignment horizontal="center"/>
      <protection locked="0"/>
    </xf>
    <xf numFmtId="181" fontId="20" fillId="38" borderId="9" xfId="0" applyNumberFormat="1" applyFont="1" applyFill="1" applyBorder="1" applyProtection="1">
      <protection locked="0"/>
    </xf>
    <xf numFmtId="0" fontId="20" fillId="38" borderId="10" xfId="0" applyFont="1" applyFill="1" applyBorder="1" applyProtection="1">
      <protection locked="0"/>
    </xf>
    <xf numFmtId="0" fontId="20" fillId="38" borderId="11" xfId="0" applyFont="1" applyFill="1" applyBorder="1" applyProtection="1">
      <protection locked="0"/>
    </xf>
    <xf numFmtId="0" fontId="20" fillId="38" borderId="12" xfId="0" applyFont="1" applyFill="1" applyBorder="1" applyProtection="1">
      <protection locked="0"/>
    </xf>
    <xf numFmtId="0" fontId="22" fillId="4" borderId="9" xfId="0" applyFont="1" applyFill="1" applyBorder="1" applyAlignment="1" applyProtection="1">
      <alignment shrinkToFit="1"/>
      <protection locked="0"/>
    </xf>
    <xf numFmtId="0" fontId="20" fillId="4" borderId="9" xfId="0" applyFont="1" applyFill="1" applyBorder="1" applyProtection="1">
      <protection locked="0"/>
    </xf>
    <xf numFmtId="0" fontId="20" fillId="4" borderId="9" xfId="0" applyFont="1" applyFill="1" applyBorder="1" applyAlignment="1" applyProtection="1">
      <alignment horizontal="center"/>
      <protection locked="0"/>
    </xf>
    <xf numFmtId="181" fontId="20" fillId="4" borderId="9" xfId="0" applyNumberFormat="1" applyFont="1" applyFill="1" applyBorder="1" applyProtection="1">
      <protection locked="0"/>
    </xf>
    <xf numFmtId="0" fontId="20" fillId="4" borderId="10" xfId="0" applyFont="1" applyFill="1" applyBorder="1" applyProtection="1">
      <protection locked="0"/>
    </xf>
    <xf numFmtId="0" fontId="20" fillId="4" borderId="11" xfId="0" applyFont="1" applyFill="1" applyBorder="1" applyProtection="1">
      <protection locked="0"/>
    </xf>
    <xf numFmtId="0" fontId="20" fillId="4" borderId="12" xfId="0" applyFont="1" applyFill="1" applyBorder="1" applyProtection="1">
      <protection locked="0"/>
    </xf>
    <xf numFmtId="0" fontId="20" fillId="2" borderId="9" xfId="0" applyFont="1" applyFill="1" applyBorder="1" applyProtection="1">
      <protection locked="0"/>
    </xf>
    <xf numFmtId="0" fontId="20" fillId="2" borderId="9" xfId="0" applyFont="1" applyFill="1" applyBorder="1" applyAlignment="1" applyProtection="1">
      <alignment horizontal="center"/>
      <protection locked="0"/>
    </xf>
    <xf numFmtId="181" fontId="20" fillId="2" borderId="9" xfId="0" applyNumberFormat="1" applyFont="1" applyFill="1" applyBorder="1" applyProtection="1">
      <protection locked="0"/>
    </xf>
    <xf numFmtId="0" fontId="20" fillId="2" borderId="10" xfId="0" applyFont="1" applyFill="1" applyBorder="1" applyProtection="1">
      <protection locked="0"/>
    </xf>
    <xf numFmtId="0" fontId="20" fillId="2" borderId="11" xfId="0" applyFont="1" applyFill="1" applyBorder="1" applyProtection="1">
      <protection locked="0"/>
    </xf>
    <xf numFmtId="0" fontId="20" fillId="2" borderId="12" xfId="0" applyFont="1" applyFill="1" applyBorder="1" applyProtection="1">
      <protection locked="0"/>
    </xf>
    <xf numFmtId="0" fontId="22" fillId="3" borderId="9" xfId="0" applyFont="1" applyFill="1" applyBorder="1" applyAlignment="1" applyProtection="1">
      <alignment shrinkToFit="1"/>
      <protection locked="0"/>
    </xf>
    <xf numFmtId="0" fontId="20" fillId="3" borderId="9" xfId="0" applyFont="1" applyFill="1" applyBorder="1" applyProtection="1">
      <protection locked="0"/>
    </xf>
    <xf numFmtId="0" fontId="20" fillId="3" borderId="9" xfId="0" applyFont="1" applyFill="1" applyBorder="1" applyAlignment="1" applyProtection="1">
      <alignment horizontal="center"/>
      <protection locked="0"/>
    </xf>
    <xf numFmtId="181" fontId="20" fillId="3" borderId="9" xfId="0" applyNumberFormat="1" applyFont="1" applyFill="1" applyBorder="1" applyProtection="1">
      <protection locked="0"/>
    </xf>
    <xf numFmtId="0" fontId="20" fillId="3" borderId="10" xfId="0" applyFont="1" applyFill="1" applyBorder="1" applyProtection="1">
      <protection locked="0"/>
    </xf>
    <xf numFmtId="0" fontId="20" fillId="3" borderId="11" xfId="0" applyFont="1" applyFill="1" applyBorder="1" applyProtection="1">
      <protection locked="0"/>
    </xf>
    <xf numFmtId="0" fontId="20" fillId="3" borderId="12" xfId="0" applyFont="1" applyFill="1" applyBorder="1" applyProtection="1">
      <protection locked="0"/>
    </xf>
    <xf numFmtId="0" fontId="20" fillId="6" borderId="9" xfId="0" applyFont="1" applyFill="1" applyBorder="1" applyProtection="1">
      <protection locked="0"/>
    </xf>
    <xf numFmtId="0" fontId="20" fillId="6" borderId="9" xfId="0" applyFont="1" applyFill="1" applyBorder="1" applyAlignment="1" applyProtection="1">
      <alignment horizontal="center"/>
      <protection locked="0"/>
    </xf>
    <xf numFmtId="181" fontId="20" fillId="6" borderId="9" xfId="0" applyNumberFormat="1" applyFont="1" applyFill="1" applyBorder="1" applyProtection="1">
      <protection locked="0"/>
    </xf>
    <xf numFmtId="0" fontId="20" fillId="6" borderId="10" xfId="0" applyFont="1" applyFill="1" applyBorder="1" applyProtection="1">
      <protection locked="0"/>
    </xf>
    <xf numFmtId="0" fontId="20" fillId="6" borderId="11" xfId="0" applyFont="1" applyFill="1" applyBorder="1" applyProtection="1">
      <protection locked="0"/>
    </xf>
    <xf numFmtId="0" fontId="20" fillId="6" borderId="12" xfId="0" applyFont="1" applyFill="1" applyBorder="1" applyProtection="1">
      <protection locked="0"/>
    </xf>
    <xf numFmtId="0" fontId="22" fillId="40" borderId="9" xfId="0" applyFont="1" applyFill="1" applyBorder="1" applyAlignment="1" applyProtection="1">
      <alignment shrinkToFit="1"/>
      <protection locked="0"/>
    </xf>
    <xf numFmtId="0" fontId="20" fillId="40" borderId="9" xfId="0" applyFont="1" applyFill="1" applyBorder="1" applyProtection="1">
      <protection locked="0"/>
    </xf>
    <xf numFmtId="0" fontId="20" fillId="40" borderId="9" xfId="0" applyFont="1" applyFill="1" applyBorder="1" applyAlignment="1" applyProtection="1">
      <alignment horizontal="center"/>
      <protection locked="0"/>
    </xf>
    <xf numFmtId="181" fontId="20" fillId="40" borderId="9" xfId="0" applyNumberFormat="1" applyFont="1" applyFill="1" applyBorder="1" applyProtection="1">
      <protection locked="0"/>
    </xf>
    <xf numFmtId="0" fontId="20" fillId="40" borderId="10" xfId="0" applyFont="1" applyFill="1" applyBorder="1" applyProtection="1">
      <protection locked="0"/>
    </xf>
    <xf numFmtId="0" fontId="20" fillId="40" borderId="11" xfId="0" applyFont="1" applyFill="1" applyBorder="1" applyProtection="1">
      <protection locked="0"/>
    </xf>
    <xf numFmtId="0" fontId="20" fillId="40" borderId="12" xfId="0" applyFont="1" applyFill="1" applyBorder="1" applyProtection="1">
      <protection locked="0"/>
    </xf>
    <xf numFmtId="0" fontId="20" fillId="41" borderId="9" xfId="0" applyFont="1" applyFill="1" applyBorder="1" applyProtection="1">
      <protection locked="0"/>
    </xf>
    <xf numFmtId="0" fontId="20" fillId="41" borderId="9" xfId="0" applyFont="1" applyFill="1" applyBorder="1" applyAlignment="1" applyProtection="1">
      <alignment horizontal="center"/>
      <protection locked="0"/>
    </xf>
    <xf numFmtId="181" fontId="20" fillId="41" borderId="9" xfId="0" applyNumberFormat="1" applyFont="1" applyFill="1" applyBorder="1" applyProtection="1">
      <protection locked="0"/>
    </xf>
    <xf numFmtId="0" fontId="20" fillId="41" borderId="10" xfId="0" applyFont="1" applyFill="1" applyBorder="1" applyProtection="1">
      <protection locked="0"/>
    </xf>
    <xf numFmtId="0" fontId="20" fillId="41" borderId="11" xfId="0" applyFont="1" applyFill="1" applyBorder="1" applyProtection="1">
      <protection locked="0"/>
    </xf>
    <xf numFmtId="0" fontId="20" fillId="41" borderId="12" xfId="0" applyFont="1" applyFill="1" applyBorder="1" applyProtection="1">
      <protection locked="0"/>
    </xf>
    <xf numFmtId="0" fontId="20" fillId="5" borderId="0" xfId="0" applyFont="1" applyFill="1" applyProtection="1">
      <protection locked="0"/>
    </xf>
    <xf numFmtId="0" fontId="20" fillId="5" borderId="0" xfId="0" applyFont="1" applyFill="1" applyAlignment="1" applyProtection="1">
      <alignment horizontal="center"/>
      <protection locked="0"/>
    </xf>
    <xf numFmtId="0" fontId="20" fillId="38" borderId="9" xfId="0" applyFont="1" applyFill="1" applyBorder="1" applyAlignment="1" applyProtection="1">
      <alignment horizontal="left" indent="1" shrinkToFit="1"/>
      <protection locked="0"/>
    </xf>
    <xf numFmtId="0" fontId="20" fillId="2" borderId="9" xfId="0" applyFont="1" applyFill="1" applyBorder="1" applyAlignment="1" applyProtection="1">
      <alignment horizontal="left" indent="1" shrinkToFit="1"/>
      <protection locked="0"/>
    </xf>
    <xf numFmtId="0" fontId="20" fillId="6" borderId="9" xfId="0" applyFont="1" applyFill="1" applyBorder="1" applyAlignment="1" applyProtection="1">
      <alignment horizontal="left" indent="1" shrinkToFit="1"/>
      <protection locked="0"/>
    </xf>
    <xf numFmtId="0" fontId="20" fillId="41" borderId="9" xfId="0" applyFont="1" applyFill="1" applyBorder="1" applyAlignment="1" applyProtection="1">
      <alignment horizontal="left" indent="1" shrinkToFit="1"/>
      <protection locked="0"/>
    </xf>
    <xf numFmtId="0" fontId="20" fillId="0" borderId="0" xfId="0" applyFont="1"/>
    <xf numFmtId="0" fontId="20" fillId="0" borderId="0" xfId="0" applyFont="1" applyAlignment="1">
      <alignment horizontal="center"/>
    </xf>
    <xf numFmtId="180" fontId="21" fillId="0" borderId="9" xfId="0" applyNumberFormat="1" applyFont="1" applyBorder="1" applyAlignment="1">
      <alignment horizontal="center"/>
    </xf>
    <xf numFmtId="0" fontId="21" fillId="0" borderId="9" xfId="0" applyFont="1" applyBorder="1" applyAlignment="1">
      <alignment horizontal="center"/>
    </xf>
    <xf numFmtId="0" fontId="20" fillId="0" borderId="0" xfId="0" applyFont="1" applyAlignment="1">
      <alignment horizontal="right"/>
    </xf>
    <xf numFmtId="0" fontId="25" fillId="0" borderId="0" xfId="0" applyFont="1" applyAlignment="1">
      <alignment horizontal="right" vertical="center"/>
    </xf>
    <xf numFmtId="0" fontId="24" fillId="0" borderId="0" xfId="0" applyFont="1" applyAlignment="1">
      <alignment vertical="top"/>
    </xf>
    <xf numFmtId="0" fontId="22" fillId="5" borderId="0" xfId="0" applyFont="1" applyFill="1"/>
    <xf numFmtId="0" fontId="22" fillId="42" borderId="9" xfId="0" applyFont="1" applyFill="1" applyBorder="1" applyAlignment="1" applyProtection="1">
      <alignment shrinkToFit="1"/>
      <protection locked="0"/>
    </xf>
    <xf numFmtId="0" fontId="20" fillId="42" borderId="9" xfId="0" applyFont="1" applyFill="1" applyBorder="1" applyProtection="1">
      <protection locked="0"/>
    </xf>
    <xf numFmtId="0" fontId="20" fillId="42" borderId="9" xfId="0" applyFont="1" applyFill="1" applyBorder="1" applyAlignment="1" applyProtection="1">
      <alignment horizontal="center"/>
      <protection locked="0"/>
    </xf>
    <xf numFmtId="181" fontId="20" fillId="42" borderId="9" xfId="0" applyNumberFormat="1" applyFont="1" applyFill="1" applyBorder="1" applyProtection="1">
      <protection locked="0"/>
    </xf>
    <xf numFmtId="0" fontId="20" fillId="42" borderId="10" xfId="0" applyFont="1" applyFill="1" applyBorder="1" applyProtection="1">
      <protection locked="0"/>
    </xf>
    <xf numFmtId="0" fontId="20" fillId="42" borderId="11" xfId="0" applyFont="1" applyFill="1" applyBorder="1" applyProtection="1">
      <protection locked="0"/>
    </xf>
    <xf numFmtId="0" fontId="20" fillId="42" borderId="12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left" indent="1" shrinkToFit="1"/>
      <protection locked="0"/>
    </xf>
    <xf numFmtId="0" fontId="20" fillId="43" borderId="9" xfId="0" applyFont="1" applyFill="1" applyBorder="1" applyProtection="1">
      <protection locked="0"/>
    </xf>
    <xf numFmtId="0" fontId="20" fillId="43" borderId="9" xfId="0" applyFont="1" applyFill="1" applyBorder="1" applyAlignment="1" applyProtection="1">
      <alignment horizontal="center"/>
      <protection locked="0"/>
    </xf>
    <xf numFmtId="181" fontId="20" fillId="43" borderId="9" xfId="0" applyNumberFormat="1" applyFont="1" applyFill="1" applyBorder="1" applyProtection="1">
      <protection locked="0"/>
    </xf>
    <xf numFmtId="0" fontId="20" fillId="43" borderId="10" xfId="0" applyFont="1" applyFill="1" applyBorder="1" applyProtection="1">
      <protection locked="0"/>
    </xf>
    <xf numFmtId="0" fontId="20" fillId="43" borderId="11" xfId="0" applyFont="1" applyFill="1" applyBorder="1" applyProtection="1">
      <protection locked="0"/>
    </xf>
    <xf numFmtId="0" fontId="20" fillId="43" borderId="12" xfId="0" applyFont="1" applyFill="1" applyBorder="1" applyProtection="1">
      <protection locked="0"/>
    </xf>
    <xf numFmtId="0" fontId="20" fillId="0" borderId="0" xfId="0" applyFont="1" applyAlignment="1" applyProtection="1">
      <alignment horizontal="left" vertical="center" wrapText="1"/>
      <protection locked="0"/>
    </xf>
    <xf numFmtId="180" fontId="27" fillId="0" borderId="9" xfId="0" applyNumberFormat="1" applyFont="1" applyBorder="1" applyAlignment="1">
      <alignment horizontal="center"/>
    </xf>
    <xf numFmtId="0" fontId="20" fillId="44" borderId="11" xfId="0" applyFont="1" applyFill="1" applyBorder="1" applyProtection="1">
      <protection locked="0"/>
    </xf>
    <xf numFmtId="0" fontId="20" fillId="43" borderId="19" xfId="0" applyFont="1" applyFill="1" applyBorder="1" applyProtection="1">
      <protection locked="0"/>
    </xf>
    <xf numFmtId="181" fontId="20" fillId="43" borderId="19" xfId="0" applyNumberFormat="1" applyFont="1" applyFill="1" applyBorder="1" applyProtection="1">
      <protection locked="0"/>
    </xf>
    <xf numFmtId="0" fontId="0" fillId="0" borderId="19" xfId="0" applyBorder="1"/>
    <xf numFmtId="0" fontId="20" fillId="43" borderId="20" xfId="0" applyFont="1" applyFill="1" applyBorder="1" applyProtection="1">
      <protection locked="0"/>
    </xf>
    <xf numFmtId="181" fontId="20" fillId="43" borderId="20" xfId="0" applyNumberFormat="1" applyFont="1" applyFill="1" applyBorder="1" applyProtection="1">
      <protection locked="0"/>
    </xf>
    <xf numFmtId="0" fontId="20" fillId="43" borderId="21" xfId="0" applyFont="1" applyFill="1" applyBorder="1" applyProtection="1">
      <protection locked="0"/>
    </xf>
    <xf numFmtId="0" fontId="20" fillId="43" borderId="22" xfId="0" applyFont="1" applyFill="1" applyBorder="1" applyProtection="1">
      <protection locked="0"/>
    </xf>
    <xf numFmtId="0" fontId="20" fillId="43" borderId="23" xfId="0" applyFont="1" applyFill="1" applyBorder="1" applyProtection="1">
      <protection locked="0"/>
    </xf>
    <xf numFmtId="0" fontId="28" fillId="43" borderId="24" xfId="0" applyFont="1" applyFill="1" applyBorder="1" applyProtection="1">
      <protection locked="0"/>
    </xf>
    <xf numFmtId="181" fontId="20" fillId="43" borderId="24" xfId="0" applyNumberFormat="1" applyFont="1" applyFill="1" applyBorder="1" applyProtection="1">
      <protection locked="0"/>
    </xf>
    <xf numFmtId="0" fontId="20" fillId="43" borderId="24" xfId="0" applyFont="1" applyFill="1" applyBorder="1" applyProtection="1">
      <protection locked="0"/>
    </xf>
    <xf numFmtId="0" fontId="0" fillId="0" borderId="24" xfId="0" applyBorder="1"/>
    <xf numFmtId="0" fontId="28" fillId="43" borderId="25" xfId="0" applyFont="1" applyFill="1" applyBorder="1" applyProtection="1">
      <protection locked="0"/>
    </xf>
    <xf numFmtId="0" fontId="29" fillId="38" borderId="9" xfId="0" applyFont="1" applyFill="1" applyBorder="1" applyAlignment="1" applyProtection="1">
      <alignment horizontal="left" indent="1" shrinkToFit="1"/>
      <protection locked="0"/>
    </xf>
    <xf numFmtId="0" fontId="29" fillId="2" borderId="9" xfId="0" applyFont="1" applyFill="1" applyBorder="1" applyAlignment="1" applyProtection="1">
      <alignment horizontal="left" indent="1" shrinkToFit="1"/>
      <protection locked="0"/>
    </xf>
    <xf numFmtId="0" fontId="29" fillId="6" borderId="9" xfId="0" applyFont="1" applyFill="1" applyBorder="1" applyAlignment="1" applyProtection="1">
      <alignment horizontal="left" indent="1" shrinkToFit="1"/>
      <protection locked="0"/>
    </xf>
    <xf numFmtId="0" fontId="29" fillId="41" borderId="9" xfId="0" applyFont="1" applyFill="1" applyBorder="1" applyAlignment="1" applyProtection="1">
      <alignment horizontal="left" indent="1" shrinkToFit="1"/>
      <protection locked="0"/>
    </xf>
    <xf numFmtId="0" fontId="29" fillId="43" borderId="20" xfId="0" applyFont="1" applyFill="1" applyBorder="1" applyAlignment="1" applyProtection="1">
      <alignment horizontal="left" indent="1" shrinkToFit="1"/>
      <protection locked="0"/>
    </xf>
    <xf numFmtId="0" fontId="28" fillId="43" borderId="24" xfId="0" applyFont="1" applyFill="1" applyBorder="1" applyAlignment="1" applyProtection="1">
      <alignment horizontal="left" indent="1" shrinkToFit="1"/>
      <protection locked="0"/>
    </xf>
    <xf numFmtId="9" fontId="20" fillId="38" borderId="9" xfId="2" applyFont="1" applyFill="1" applyBorder="1" applyAlignment="1" applyProtection="1">
      <alignment horizontal="center"/>
      <protection locked="0"/>
    </xf>
    <xf numFmtId="9" fontId="20" fillId="2" borderId="9" xfId="2" applyFont="1" applyFill="1" applyBorder="1" applyAlignment="1" applyProtection="1">
      <alignment horizontal="center"/>
      <protection locked="0"/>
    </xf>
    <xf numFmtId="9" fontId="20" fillId="3" borderId="9" xfId="2" applyFont="1" applyFill="1" applyBorder="1" applyAlignment="1" applyProtection="1">
      <alignment horizontal="center"/>
      <protection locked="0"/>
    </xf>
    <xf numFmtId="9" fontId="20" fillId="6" borderId="9" xfId="2" applyFont="1" applyFill="1" applyBorder="1" applyAlignment="1" applyProtection="1">
      <alignment horizontal="center"/>
      <protection locked="0"/>
    </xf>
    <xf numFmtId="9" fontId="20" fillId="41" borderId="9" xfId="2" applyFont="1" applyFill="1" applyBorder="1" applyAlignment="1" applyProtection="1">
      <alignment horizontal="center"/>
      <protection locked="0"/>
    </xf>
    <xf numFmtId="9" fontId="29" fillId="43" borderId="20" xfId="2" applyFont="1" applyFill="1" applyBorder="1" applyAlignment="1" applyProtection="1">
      <alignment horizontal="center"/>
      <protection locked="0"/>
    </xf>
    <xf numFmtId="9" fontId="20" fillId="43" borderId="19" xfId="2" applyFont="1" applyFill="1" applyBorder="1" applyAlignment="1" applyProtection="1">
      <alignment horizontal="center"/>
      <protection locked="0"/>
    </xf>
    <xf numFmtId="9" fontId="20" fillId="43" borderId="25" xfId="2" applyFont="1" applyFill="1" applyBorder="1" applyAlignment="1" applyProtection="1">
      <alignment horizontal="center"/>
      <protection locked="0"/>
    </xf>
    <xf numFmtId="0" fontId="30" fillId="2" borderId="9" xfId="0" applyFont="1" applyFill="1" applyBorder="1" applyAlignment="1" applyProtection="1">
      <alignment horizontal="left" indent="1" shrinkToFit="1"/>
      <protection locked="0"/>
    </xf>
    <xf numFmtId="14" fontId="20" fillId="0" borderId="9" xfId="0" applyNumberFormat="1" applyFont="1" applyBorder="1" applyAlignment="1">
      <alignment horizontal="center"/>
    </xf>
    <xf numFmtId="183" fontId="26" fillId="0" borderId="0" xfId="0" applyNumberFormat="1" applyFont="1" applyAlignment="1">
      <alignment horizontal="left" vertical="center"/>
    </xf>
    <xf numFmtId="0" fontId="20" fillId="0" borderId="0" xfId="0" applyFont="1" applyProtection="1">
      <protection locked="0"/>
    </xf>
    <xf numFmtId="0" fontId="20" fillId="0" borderId="0" xfId="0" applyFont="1" applyAlignment="1">
      <alignment horizontal="center"/>
    </xf>
    <xf numFmtId="182" fontId="1" fillId="0" borderId="0" xfId="9" applyNumberFormat="1" applyBorder="1" applyAlignment="1">
      <alignment horizontal="center"/>
    </xf>
    <xf numFmtId="183" fontId="23" fillId="0" borderId="0" xfId="9" applyNumberFormat="1" applyFont="1" applyBorder="1" applyAlignment="1">
      <alignment horizontal="left"/>
    </xf>
    <xf numFmtId="0" fontId="20" fillId="0" borderId="16" xfId="0" applyFont="1" applyBorder="1" applyAlignment="1">
      <alignment horizontal="center"/>
    </xf>
    <xf numFmtId="182" fontId="1" fillId="0" borderId="17" xfId="9" applyNumberFormat="1" applyBorder="1" applyAlignment="1">
      <alignment horizontal="center"/>
    </xf>
    <xf numFmtId="182" fontId="1" fillId="0" borderId="18" xfId="9" applyNumberFormat="1" applyBorder="1" applyAlignment="1">
      <alignment horizontal="center"/>
    </xf>
    <xf numFmtId="0" fontId="20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/>
    </xf>
    <xf numFmtId="0" fontId="20" fillId="0" borderId="14" xfId="0" applyFont="1" applyBorder="1" applyAlignment="1">
      <alignment horizontal="center"/>
    </xf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 xr:uid="{26E66EE6-E33F-4D77-BAE4-0FB4F5BBF673}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 xr:uid="{6391D789-272B-4DD2-9BF3-2CDCF610FA41}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 xr:uid="{8EB8A09A-C31C-40A3-B2C1-9449520178B8}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 xr:uid="{229918B6-DD13-4F5A-97B9-305F7E002AA3}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 xr:uid="{B2D3C1EE-6B41-4801-AAFC-C2274E49E503}"/>
    <cellStyle name="良い" xfId="18" builtinId="26" customBuiltin="1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 xr9:uid="{00000000-0011-0000-FFFF-FFFF00000000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secondRowStripe" dxfId="5"/>
      <tableStyleElement type="firstColumnStripe" dxfId="4"/>
      <tableStyleElement type="secondColumn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000000"/>
      <color rgb="FF215881"/>
      <color rgb="FF42648A"/>
      <color rgb="FF969696"/>
      <color rgb="FFC0C0C0"/>
      <color rgb="FF427FC2"/>
      <color rgb="FF44678E"/>
      <color rgb="FF4A6F9C"/>
      <color rgb="FF396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19831-6452-4860-AA4E-9CFCE6764C52}">
  <sheetPr>
    <pageSetUpPr fitToPage="1"/>
  </sheetPr>
  <dimension ref="A1:CN40"/>
  <sheetViews>
    <sheetView topLeftCell="A20" workbookViewId="0">
      <pane xSplit="7" topLeftCell="H1" activePane="topRight" state="frozen"/>
      <selection pane="topRight" activeCell="B6" sqref="A1:XFD1048576"/>
    </sheetView>
  </sheetViews>
  <sheetFormatPr defaultColWidth="8.88671875" defaultRowHeight="18.75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4" customHeight="1" x14ac:dyDescent="0.45">
      <c r="A1" s="67" t="s">
        <v>0</v>
      </c>
      <c r="D1" s="66" t="s">
        <v>1</v>
      </c>
      <c r="E1" s="115">
        <v>45761</v>
      </c>
      <c r="F1" s="115"/>
      <c r="G1" s="115"/>
    </row>
    <row r="2" spans="1:92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5" customHeight="1" x14ac:dyDescent="0.45">
      <c r="D5" s="117"/>
      <c r="E5" s="117"/>
      <c r="F5" s="118"/>
      <c r="G5" s="118"/>
      <c r="AU5" s="1" t="s">
        <v>5</v>
      </c>
      <c r="BO5" s="1" t="s">
        <v>6</v>
      </c>
      <c r="BX5" s="1" t="s">
        <v>7</v>
      </c>
    </row>
    <row r="6" spans="1:92" x14ac:dyDescent="0.45">
      <c r="A6" s="65"/>
      <c r="B6" s="119"/>
      <c r="C6" s="119"/>
      <c r="D6" s="120"/>
      <c r="E6" s="120"/>
      <c r="F6" s="121"/>
      <c r="G6" s="122"/>
      <c r="H6" s="114">
        <f>H7</f>
        <v>45761</v>
      </c>
      <c r="I6" s="114"/>
      <c r="J6" s="114"/>
      <c r="K6" s="114"/>
      <c r="L6" s="114"/>
      <c r="M6" s="114">
        <f>H6+7</f>
        <v>45768</v>
      </c>
      <c r="N6" s="114"/>
      <c r="O6" s="114"/>
      <c r="P6" s="114"/>
      <c r="Q6" s="114"/>
      <c r="R6" s="114">
        <f>M6+7</f>
        <v>45775</v>
      </c>
      <c r="S6" s="114"/>
      <c r="T6" s="114"/>
      <c r="U6" s="114"/>
      <c r="V6" s="114"/>
      <c r="W6" s="114">
        <f>R6+7</f>
        <v>45782</v>
      </c>
      <c r="X6" s="114"/>
      <c r="Y6" s="114"/>
      <c r="Z6" s="114"/>
      <c r="AA6" s="114"/>
      <c r="AB6" s="114">
        <f>W6+7</f>
        <v>45789</v>
      </c>
      <c r="AC6" s="114"/>
      <c r="AD6" s="114"/>
      <c r="AE6" s="114"/>
      <c r="AF6" s="114"/>
      <c r="AG6" s="114">
        <f>AB6+7</f>
        <v>45796</v>
      </c>
      <c r="AH6" s="114"/>
      <c r="AI6" s="114"/>
      <c r="AJ6" s="114"/>
      <c r="AK6" s="114"/>
      <c r="AL6" s="114">
        <f>AG6+7</f>
        <v>45803</v>
      </c>
      <c r="AM6" s="114"/>
      <c r="AN6" s="114"/>
      <c r="AO6" s="114"/>
      <c r="AP6" s="114"/>
      <c r="AQ6" s="114">
        <f>AL6+7</f>
        <v>45810</v>
      </c>
      <c r="AR6" s="114"/>
      <c r="AS6" s="114"/>
      <c r="AT6" s="114"/>
      <c r="AU6" s="114"/>
      <c r="AV6" s="114">
        <f>AQ6+7</f>
        <v>45817</v>
      </c>
      <c r="AW6" s="114"/>
      <c r="AX6" s="114"/>
      <c r="AY6" s="114"/>
      <c r="AZ6" s="114"/>
      <c r="BA6" s="114">
        <f>AV6+7</f>
        <v>45824</v>
      </c>
      <c r="BB6" s="114"/>
      <c r="BC6" s="114"/>
      <c r="BD6" s="114"/>
      <c r="BE6" s="114"/>
      <c r="BF6" s="114">
        <f>BA6+7</f>
        <v>45831</v>
      </c>
      <c r="BG6" s="114"/>
      <c r="BH6" s="114"/>
      <c r="BI6" s="114"/>
      <c r="BJ6" s="114"/>
      <c r="BK6" s="114">
        <f>BF6+7</f>
        <v>45838</v>
      </c>
      <c r="BL6" s="114"/>
      <c r="BM6" s="114"/>
      <c r="BN6" s="114"/>
      <c r="BO6" s="114"/>
      <c r="BP6" s="114">
        <f>BK6+7</f>
        <v>45845</v>
      </c>
      <c r="BQ6" s="114"/>
      <c r="BR6" s="114"/>
      <c r="BS6" s="114"/>
      <c r="BT6" s="114"/>
      <c r="BU6" s="114">
        <f>BP6+7</f>
        <v>45852</v>
      </c>
      <c r="BV6" s="114"/>
      <c r="BW6" s="114"/>
      <c r="BX6" s="114"/>
      <c r="BY6" s="114"/>
      <c r="BZ6" s="114">
        <f>BU6+7</f>
        <v>45859</v>
      </c>
      <c r="CA6" s="114"/>
      <c r="CB6" s="114"/>
      <c r="CC6" s="114"/>
      <c r="CD6" s="114"/>
      <c r="CE6" s="114">
        <f>BZ6+7</f>
        <v>45866</v>
      </c>
      <c r="CF6" s="114"/>
      <c r="CG6" s="114"/>
      <c r="CH6" s="114"/>
      <c r="CI6" s="114"/>
      <c r="CJ6" s="114">
        <f>CE6+7</f>
        <v>45873</v>
      </c>
      <c r="CK6" s="114"/>
      <c r="CL6" s="114"/>
      <c r="CM6" s="114"/>
      <c r="CN6" s="114"/>
    </row>
    <row r="7" spans="1:92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25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0</v>
      </c>
      <c r="D13" s="12">
        <v>45784</v>
      </c>
      <c r="E13" s="12">
        <v>45788</v>
      </c>
      <c r="F13" s="12">
        <v>45784</v>
      </c>
      <c r="G13" s="12"/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29</v>
      </c>
      <c r="B14" s="10"/>
      <c r="C14" s="11"/>
      <c r="D14" s="12"/>
      <c r="E14" s="12"/>
      <c r="F14" s="12"/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16" t="s">
        <v>30</v>
      </c>
      <c r="B15" s="17" t="s">
        <v>21</v>
      </c>
      <c r="C15" s="18"/>
      <c r="D15" s="19"/>
      <c r="E15" s="19"/>
      <c r="F15" s="19"/>
      <c r="G15" s="19"/>
      <c r="H15" s="20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  <c r="BT15" s="21"/>
      <c r="BU15" s="21"/>
      <c r="BV15" s="21"/>
      <c r="BW15" s="21"/>
      <c r="BX15" s="21"/>
      <c r="BY15" s="21"/>
      <c r="BZ15" s="21"/>
      <c r="CA15" s="21"/>
      <c r="CB15" s="21"/>
      <c r="CC15" s="21"/>
      <c r="CD15" s="21"/>
      <c r="CE15" s="21"/>
      <c r="CF15" s="21"/>
      <c r="CG15" s="21"/>
      <c r="CH15" s="21"/>
      <c r="CI15" s="21"/>
      <c r="CJ15" s="21"/>
      <c r="CK15" s="21"/>
      <c r="CL15" s="21"/>
      <c r="CM15" s="21"/>
      <c r="CN15" s="22"/>
    </row>
    <row r="16" spans="1:92" ht="24" customHeight="1" x14ac:dyDescent="0.45">
      <c r="A16" s="58" t="s">
        <v>31</v>
      </c>
      <c r="B16" s="23" t="s">
        <v>28</v>
      </c>
      <c r="C16" s="24">
        <v>20</v>
      </c>
      <c r="D16" s="25">
        <v>45779</v>
      </c>
      <c r="E16" s="25">
        <v>45783</v>
      </c>
      <c r="F16" s="25">
        <v>45779</v>
      </c>
      <c r="G16" s="25"/>
      <c r="H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  <c r="AJ16" s="27"/>
      <c r="AK16" s="27"/>
      <c r="AL16" s="27"/>
      <c r="AM16" s="27"/>
      <c r="AN16" s="27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  <c r="BG16" s="27"/>
      <c r="BH16" s="27"/>
      <c r="BI16" s="27"/>
      <c r="BJ16" s="27"/>
      <c r="BK16" s="27"/>
      <c r="BL16" s="27"/>
      <c r="BM16" s="27"/>
      <c r="BN16" s="27"/>
      <c r="BO16" s="27"/>
      <c r="BP16" s="27"/>
      <c r="BQ16" s="27"/>
      <c r="BR16" s="27"/>
      <c r="BS16" s="27"/>
      <c r="BT16" s="27"/>
      <c r="BU16" s="27"/>
      <c r="BV16" s="27"/>
      <c r="BW16" s="27"/>
      <c r="BX16" s="27"/>
      <c r="BY16" s="27"/>
      <c r="BZ16" s="27"/>
      <c r="CA16" s="27"/>
      <c r="CB16" s="27"/>
      <c r="CC16" s="27"/>
      <c r="CD16" s="27"/>
      <c r="CE16" s="27"/>
      <c r="CF16" s="27"/>
      <c r="CG16" s="27"/>
      <c r="CH16" s="27"/>
      <c r="CI16" s="27"/>
      <c r="CJ16" s="27"/>
      <c r="CK16" s="27"/>
      <c r="CL16" s="27"/>
      <c r="CM16" s="27"/>
      <c r="CN16" s="28"/>
    </row>
    <row r="17" spans="1:92" ht="24" customHeight="1" x14ac:dyDescent="0.45">
      <c r="A17" s="58" t="s">
        <v>32</v>
      </c>
      <c r="B17" s="23" t="s">
        <v>28</v>
      </c>
      <c r="C17" s="24">
        <v>0</v>
      </c>
      <c r="D17" s="25">
        <v>45792</v>
      </c>
      <c r="E17" s="25">
        <v>45797</v>
      </c>
      <c r="F17" s="25"/>
      <c r="G17" s="25"/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33</v>
      </c>
      <c r="B18" s="23"/>
      <c r="C18" s="24"/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34</v>
      </c>
      <c r="B19" s="23"/>
      <c r="C19" s="24"/>
      <c r="D19" s="25"/>
      <c r="E19" s="25"/>
      <c r="F19" s="25"/>
      <c r="G19" s="25"/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35</v>
      </c>
      <c r="B20" s="23"/>
      <c r="C20" s="24"/>
      <c r="D20" s="25"/>
      <c r="E20" s="25"/>
      <c r="F20" s="25"/>
      <c r="G20" s="25"/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29" t="s">
        <v>36</v>
      </c>
      <c r="B21" s="30" t="s">
        <v>37</v>
      </c>
      <c r="C21" s="31"/>
      <c r="D21" s="32"/>
      <c r="E21" s="32"/>
      <c r="F21" s="32"/>
      <c r="G21" s="32"/>
      <c r="H21" s="33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5"/>
    </row>
    <row r="22" spans="1:92" ht="24" customHeight="1" x14ac:dyDescent="0.45">
      <c r="A22" s="59" t="s">
        <v>22</v>
      </c>
      <c r="B22" s="36" t="s">
        <v>25</v>
      </c>
      <c r="C22" s="37">
        <v>0</v>
      </c>
      <c r="D22" s="38">
        <v>45784</v>
      </c>
      <c r="E22" s="38"/>
      <c r="F22" s="38">
        <v>45784</v>
      </c>
      <c r="G22" s="38"/>
      <c r="H22" s="39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1"/>
    </row>
    <row r="23" spans="1:92" ht="24" customHeight="1" x14ac:dyDescent="0.45">
      <c r="A23" s="59" t="s">
        <v>27</v>
      </c>
      <c r="B23" s="36" t="s">
        <v>38</v>
      </c>
      <c r="C23" s="37">
        <v>0</v>
      </c>
      <c r="D23" s="38">
        <v>45789</v>
      </c>
      <c r="E23" s="38">
        <v>45795</v>
      </c>
      <c r="F23" s="38"/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39</v>
      </c>
      <c r="B24" s="36"/>
      <c r="C24" s="37"/>
      <c r="D24" s="38"/>
      <c r="E24" s="38"/>
      <c r="F24" s="38"/>
      <c r="G24" s="38"/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40</v>
      </c>
      <c r="B25" s="36"/>
      <c r="C25" s="37"/>
      <c r="D25" s="38"/>
      <c r="E25" s="38"/>
      <c r="F25" s="38"/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41</v>
      </c>
      <c r="B26" s="36"/>
      <c r="C26" s="37"/>
      <c r="D26" s="38"/>
      <c r="E26" s="38"/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42" t="s">
        <v>42</v>
      </c>
      <c r="B27" s="43" t="s">
        <v>37</v>
      </c>
      <c r="C27" s="44"/>
      <c r="D27" s="45"/>
      <c r="E27" s="45"/>
      <c r="F27" s="45"/>
      <c r="G27" s="45"/>
      <c r="H27" s="46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47"/>
      <c r="AW27" s="47"/>
      <c r="AX27" s="47"/>
      <c r="AY27" s="47"/>
      <c r="AZ27" s="47"/>
      <c r="BA27" s="47"/>
      <c r="BB27" s="47"/>
      <c r="BC27" s="47"/>
      <c r="BD27" s="47"/>
      <c r="BE27" s="47"/>
      <c r="BF27" s="47"/>
      <c r="BG27" s="47"/>
      <c r="BH27" s="47"/>
      <c r="BI27" s="47"/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7"/>
      <c r="CB27" s="47"/>
      <c r="CC27" s="47"/>
      <c r="CD27" s="47"/>
      <c r="CE27" s="47"/>
      <c r="CF27" s="47"/>
      <c r="CG27" s="47"/>
      <c r="CH27" s="47"/>
      <c r="CI27" s="47"/>
      <c r="CJ27" s="47"/>
      <c r="CK27" s="47"/>
      <c r="CL27" s="47"/>
      <c r="CM27" s="47"/>
      <c r="CN27" s="48"/>
    </row>
    <row r="28" spans="1:92" ht="24" customHeight="1" x14ac:dyDescent="0.45">
      <c r="A28" s="60" t="s">
        <v>43</v>
      </c>
      <c r="B28" s="49" t="s">
        <v>38</v>
      </c>
      <c r="C28" s="50">
        <v>80</v>
      </c>
      <c r="D28" s="51">
        <v>45779</v>
      </c>
      <c r="E28" s="51">
        <v>45783</v>
      </c>
      <c r="F28" s="51">
        <v>45779</v>
      </c>
      <c r="G28" s="51"/>
      <c r="H28" s="52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  <c r="BT28" s="53"/>
      <c r="BU28" s="53"/>
      <c r="BV28" s="53"/>
      <c r="BW28" s="53"/>
      <c r="BX28" s="53"/>
      <c r="BY28" s="53"/>
      <c r="BZ28" s="53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4"/>
    </row>
    <row r="29" spans="1:92" ht="24" customHeight="1" x14ac:dyDescent="0.45">
      <c r="A29" s="60" t="s">
        <v>44</v>
      </c>
      <c r="B29" s="49" t="s">
        <v>38</v>
      </c>
      <c r="C29" s="50">
        <v>0</v>
      </c>
      <c r="D29" s="51">
        <v>45786</v>
      </c>
      <c r="E29" s="51">
        <v>45788</v>
      </c>
      <c r="F29" s="51"/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45</v>
      </c>
      <c r="B30" s="49" t="s">
        <v>28</v>
      </c>
      <c r="C30" s="50">
        <v>0</v>
      </c>
      <c r="D30" s="51">
        <v>45792</v>
      </c>
      <c r="E30" s="51">
        <v>45797</v>
      </c>
      <c r="F30" s="51"/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40</v>
      </c>
      <c r="B31" s="49"/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41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9" t="s">
        <v>46</v>
      </c>
      <c r="B33" s="70"/>
      <c r="C33" s="71"/>
      <c r="D33" s="72"/>
      <c r="E33" s="72"/>
      <c r="F33" s="72"/>
      <c r="G33" s="72"/>
      <c r="H33" s="73"/>
      <c r="I33" s="74"/>
      <c r="J33" s="74"/>
      <c r="K33" s="74"/>
      <c r="L33" s="74"/>
      <c r="M33" s="74"/>
      <c r="N33" s="74"/>
      <c r="O33" s="74"/>
      <c r="P33" s="74"/>
      <c r="Q33" s="74"/>
      <c r="R33" s="74"/>
      <c r="S33" s="74"/>
      <c r="T33" s="74"/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4"/>
      <c r="AG33" s="74"/>
      <c r="AH33" s="74"/>
      <c r="AI33" s="74"/>
      <c r="AJ33" s="74"/>
      <c r="AK33" s="74"/>
      <c r="AL33" s="74"/>
      <c r="AM33" s="74"/>
      <c r="AN33" s="74"/>
      <c r="AO33" s="74"/>
      <c r="AP33" s="74"/>
      <c r="AQ33" s="74"/>
      <c r="AR33" s="74"/>
      <c r="AS33" s="74"/>
      <c r="AT33" s="74"/>
      <c r="AU33" s="74"/>
      <c r="AV33" s="74"/>
      <c r="AW33" s="74"/>
      <c r="AX33" s="74"/>
      <c r="AY33" s="74"/>
      <c r="AZ33" s="74"/>
      <c r="BA33" s="74"/>
      <c r="BB33" s="74"/>
      <c r="BC33" s="74"/>
      <c r="BD33" s="74"/>
      <c r="BE33" s="74"/>
      <c r="BF33" s="74"/>
      <c r="BG33" s="74"/>
      <c r="BH33" s="74"/>
      <c r="BI33" s="74"/>
      <c r="BJ33" s="74"/>
      <c r="BK33" s="74"/>
      <c r="BL33" s="74"/>
      <c r="BM33" s="74"/>
      <c r="BN33" s="74"/>
      <c r="BO33" s="74"/>
      <c r="BP33" s="74"/>
      <c r="BQ33" s="74"/>
      <c r="BR33" s="74"/>
      <c r="BS33" s="74"/>
      <c r="BT33" s="74"/>
      <c r="BU33" s="74"/>
      <c r="BV33" s="74"/>
      <c r="BW33" s="74"/>
      <c r="BX33" s="74"/>
      <c r="BY33" s="74"/>
      <c r="BZ33" s="74"/>
      <c r="CA33" s="74"/>
      <c r="CB33" s="74"/>
      <c r="CC33" s="74"/>
      <c r="CD33" s="74"/>
      <c r="CE33" s="74"/>
      <c r="CF33" s="74"/>
      <c r="CG33" s="74"/>
      <c r="CH33" s="74"/>
      <c r="CI33" s="74"/>
      <c r="CJ33" s="74"/>
      <c r="CK33" s="74"/>
      <c r="CL33" s="74"/>
      <c r="CM33" s="74"/>
      <c r="CN33" s="75"/>
    </row>
    <row r="34" spans="1:92" ht="24" customHeight="1" x14ac:dyDescent="0.45">
      <c r="A34" s="76" t="s">
        <v>47</v>
      </c>
      <c r="B34" s="77"/>
      <c r="C34" s="78"/>
      <c r="D34" s="79"/>
      <c r="E34" s="79"/>
      <c r="F34" s="79"/>
      <c r="G34" s="79"/>
      <c r="H34" s="80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  <c r="AQ34" s="81"/>
      <c r="AR34" s="81"/>
      <c r="AS34" s="81"/>
      <c r="AT34" s="81"/>
      <c r="AU34" s="81"/>
      <c r="AV34" s="81"/>
      <c r="AW34" s="81"/>
      <c r="AX34" s="81"/>
      <c r="AY34" s="81"/>
      <c r="AZ34" s="81"/>
      <c r="BA34" s="81"/>
      <c r="BB34" s="81"/>
      <c r="BC34" s="81"/>
      <c r="BD34" s="81"/>
      <c r="BE34" s="81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2"/>
    </row>
    <row r="35" spans="1:92" ht="15" customHeight="1" x14ac:dyDescent="0.45"/>
    <row r="36" spans="1:92" ht="19.5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24" customHeight="1" x14ac:dyDescent="0.45"/>
    <row r="40" spans="1:92" ht="24" customHeight="1" x14ac:dyDescent="0.45"/>
  </sheetData>
  <sheetProtection password="DF87" sheet="1" insertRows="0"/>
  <mergeCells count="28">
    <mergeCell ref="E1:G1"/>
    <mergeCell ref="AG6:AK6"/>
    <mergeCell ref="AL6:AP6"/>
    <mergeCell ref="A2:G2"/>
    <mergeCell ref="A3:G3"/>
    <mergeCell ref="A4:G4"/>
    <mergeCell ref="D6:E6"/>
    <mergeCell ref="F6:G6"/>
    <mergeCell ref="H6:L6"/>
    <mergeCell ref="D5:E5"/>
    <mergeCell ref="F5:G5"/>
    <mergeCell ref="B6:C6"/>
    <mergeCell ref="BU6:BY6"/>
    <mergeCell ref="BZ6:CD6"/>
    <mergeCell ref="CE6:CI6"/>
    <mergeCell ref="CJ6:CN6"/>
    <mergeCell ref="D7:E7"/>
    <mergeCell ref="F7:G7"/>
    <mergeCell ref="AQ6:AU6"/>
    <mergeCell ref="AV6:AZ6"/>
    <mergeCell ref="BA6:BE6"/>
    <mergeCell ref="BF6:BJ6"/>
    <mergeCell ref="BK6:BO6"/>
    <mergeCell ref="BP6:BT6"/>
    <mergeCell ref="M6:Q6"/>
    <mergeCell ref="R6:V6"/>
    <mergeCell ref="W6:AA6"/>
    <mergeCell ref="AB6:AF6"/>
  </mergeCells>
  <phoneticPr fontId="19"/>
  <conditionalFormatting sqref="F9:G34">
    <cfRule type="expression" dxfId="2" priority="1">
      <formula>D9&lt;F9</formula>
    </cfRule>
  </conditionalFormatting>
  <pageMargins left="0.51181102362204722" right="0.27559055118110237" top="0.27559055118110237" bottom="0.19685039370078741" header="0.23622047244094491" footer="7.874015748031496E-2"/>
  <pageSetup paperSize="8" scale="5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FAE6-9868-4881-B6EC-EAF3A31AE300}">
  <dimension ref="A1:CN40"/>
  <sheetViews>
    <sheetView workbookViewId="0">
      <selection activeCell="F21" sqref="F21"/>
    </sheetView>
  </sheetViews>
  <sheetFormatPr defaultColWidth="8.88671875" defaultRowHeight="18.75" customHeight="1" x14ac:dyDescent="0.45"/>
  <cols>
    <col min="1" max="1" width="25.77734375" style="1" customWidth="1"/>
    <col min="2" max="2" width="11.6640625" style="1" customWidth="1"/>
    <col min="3" max="3" width="8.21875" style="2" customWidth="1"/>
    <col min="4" max="5" width="8.88671875" style="2" customWidth="1"/>
    <col min="6" max="6" width="8.88671875" style="1"/>
    <col min="7" max="7" width="8.88671875" style="1" customWidth="1"/>
    <col min="8" max="9" width="2.77734375" style="1" customWidth="1"/>
    <col min="10" max="10" width="2.6640625" style="1" customWidth="1"/>
    <col min="11" max="14" width="2.77734375" style="1" customWidth="1"/>
    <col min="15" max="15" width="2.6640625" style="1" customWidth="1"/>
    <col min="16" max="19" width="2.77734375" style="1" customWidth="1"/>
    <col min="20" max="20" width="2.6640625" style="1" customWidth="1"/>
    <col min="21" max="24" width="2.77734375" style="1" customWidth="1"/>
    <col min="25" max="25" width="2.6640625" style="1" customWidth="1"/>
    <col min="26" max="29" width="2.77734375" style="1" customWidth="1"/>
    <col min="30" max="30" width="2.6640625" style="1" customWidth="1"/>
    <col min="31" max="34" width="2.77734375" style="1" customWidth="1"/>
    <col min="35" max="35" width="2.6640625" style="1" customWidth="1"/>
    <col min="36" max="39" width="2.77734375" style="1" customWidth="1"/>
    <col min="40" max="40" width="2.6640625" style="1" customWidth="1"/>
    <col min="41" max="44" width="2.77734375" style="1" customWidth="1"/>
    <col min="45" max="45" width="2.6640625" style="1" customWidth="1"/>
    <col min="46" max="49" width="2.77734375" style="1" customWidth="1"/>
    <col min="50" max="50" width="2.6640625" style="1" customWidth="1"/>
    <col min="51" max="54" width="2.77734375" style="1" customWidth="1"/>
    <col min="55" max="55" width="2.6640625" style="1" customWidth="1"/>
    <col min="56" max="59" width="2.77734375" style="1" customWidth="1"/>
    <col min="60" max="60" width="2.6640625" style="1" customWidth="1"/>
    <col min="61" max="64" width="2.77734375" style="1" customWidth="1"/>
    <col min="65" max="65" width="2.6640625" style="1" customWidth="1"/>
    <col min="66" max="69" width="2.77734375" style="1" customWidth="1"/>
    <col min="70" max="70" width="2.6640625" style="1" customWidth="1"/>
    <col min="71" max="74" width="2.77734375" style="1" customWidth="1"/>
    <col min="75" max="75" width="2.6640625" style="1" customWidth="1"/>
    <col min="76" max="79" width="2.77734375" style="1" customWidth="1"/>
    <col min="80" max="80" width="2.6640625" style="1" customWidth="1"/>
    <col min="81" max="84" width="2.77734375" style="1" customWidth="1"/>
    <col min="85" max="85" width="2.6640625" style="1" customWidth="1"/>
    <col min="86" max="89" width="2.77734375" style="1" customWidth="1"/>
    <col min="90" max="90" width="2.6640625" style="1" customWidth="1"/>
    <col min="91" max="92" width="2.77734375" style="1" customWidth="1"/>
    <col min="93" max="16384" width="8.88671875" style="1"/>
  </cols>
  <sheetData>
    <row r="1" spans="1:92" ht="27.75" customHeight="1" x14ac:dyDescent="0.45">
      <c r="A1" s="67" t="s">
        <v>0</v>
      </c>
      <c r="D1" s="66" t="s">
        <v>1</v>
      </c>
      <c r="E1" s="115">
        <v>45761</v>
      </c>
      <c r="F1" s="115"/>
      <c r="G1" s="115"/>
    </row>
    <row r="2" spans="1:92" ht="17.45" customHeight="1" x14ac:dyDescent="0.45">
      <c r="A2" s="116" t="s">
        <v>2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</row>
    <row r="3" spans="1:92" ht="17.45" customHeight="1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</row>
    <row r="4" spans="1:92" ht="17.45" customHeight="1" x14ac:dyDescent="0.45">
      <c r="A4" s="116" t="s">
        <v>4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</row>
    <row r="5" spans="1:92" ht="18.75" customHeight="1" x14ac:dyDescent="0.45">
      <c r="D5" s="117"/>
      <c r="E5" s="117"/>
      <c r="F5" s="118"/>
      <c r="G5" s="118"/>
      <c r="AU5" s="1" t="s">
        <v>5</v>
      </c>
      <c r="BO5" s="1" t="s">
        <v>6</v>
      </c>
      <c r="BX5" s="1" t="s">
        <v>7</v>
      </c>
    </row>
    <row r="6" spans="1:92" ht="17.45" customHeight="1" x14ac:dyDescent="0.45">
      <c r="A6" s="65"/>
      <c r="B6" s="119"/>
      <c r="C6" s="119"/>
      <c r="D6" s="120"/>
      <c r="E6" s="120"/>
      <c r="F6" s="121"/>
      <c r="G6" s="122"/>
      <c r="H6" s="114">
        <f>H7</f>
        <v>45761</v>
      </c>
      <c r="I6" s="114"/>
      <c r="J6" s="114"/>
      <c r="K6" s="114"/>
      <c r="L6" s="114"/>
      <c r="M6" s="114">
        <f>H6+7</f>
        <v>45768</v>
      </c>
      <c r="N6" s="114"/>
      <c r="O6" s="114"/>
      <c r="P6" s="114"/>
      <c r="Q6" s="114"/>
      <c r="R6" s="114">
        <f>M6+7</f>
        <v>45775</v>
      </c>
      <c r="S6" s="114"/>
      <c r="T6" s="114"/>
      <c r="U6" s="114"/>
      <c r="V6" s="114"/>
      <c r="W6" s="114">
        <f>R6+7</f>
        <v>45782</v>
      </c>
      <c r="X6" s="114"/>
      <c r="Y6" s="114"/>
      <c r="Z6" s="114"/>
      <c r="AA6" s="114"/>
      <c r="AB6" s="114">
        <f>W6+7</f>
        <v>45789</v>
      </c>
      <c r="AC6" s="114"/>
      <c r="AD6" s="114"/>
      <c r="AE6" s="114"/>
      <c r="AF6" s="114"/>
      <c r="AG6" s="114">
        <f>AB6+7</f>
        <v>45796</v>
      </c>
      <c r="AH6" s="114"/>
      <c r="AI6" s="114"/>
      <c r="AJ6" s="114"/>
      <c r="AK6" s="114"/>
      <c r="AL6" s="114">
        <f>AG6+7</f>
        <v>45803</v>
      </c>
      <c r="AM6" s="114"/>
      <c r="AN6" s="114"/>
      <c r="AO6" s="114"/>
      <c r="AP6" s="114"/>
      <c r="AQ6" s="114">
        <f>AL6+7</f>
        <v>45810</v>
      </c>
      <c r="AR6" s="114"/>
      <c r="AS6" s="114"/>
      <c r="AT6" s="114"/>
      <c r="AU6" s="114"/>
      <c r="AV6" s="114">
        <f>AQ6+7</f>
        <v>45817</v>
      </c>
      <c r="AW6" s="114"/>
      <c r="AX6" s="114"/>
      <c r="AY6" s="114"/>
      <c r="AZ6" s="114"/>
      <c r="BA6" s="114">
        <f>AV6+7</f>
        <v>45824</v>
      </c>
      <c r="BB6" s="114"/>
      <c r="BC6" s="114"/>
      <c r="BD6" s="114"/>
      <c r="BE6" s="114"/>
      <c r="BF6" s="114">
        <f>BA6+7</f>
        <v>45831</v>
      </c>
      <c r="BG6" s="114"/>
      <c r="BH6" s="114"/>
      <c r="BI6" s="114"/>
      <c r="BJ6" s="114"/>
      <c r="BK6" s="114">
        <f>BF6+7</f>
        <v>45838</v>
      </c>
      <c r="BL6" s="114"/>
      <c r="BM6" s="114"/>
      <c r="BN6" s="114"/>
      <c r="BO6" s="114"/>
      <c r="BP6" s="114">
        <f>BK6+7</f>
        <v>45845</v>
      </c>
      <c r="BQ6" s="114"/>
      <c r="BR6" s="114"/>
      <c r="BS6" s="114"/>
      <c r="BT6" s="114"/>
      <c r="BU6" s="114">
        <f>BP6+7</f>
        <v>45852</v>
      </c>
      <c r="BV6" s="114"/>
      <c r="BW6" s="114"/>
      <c r="BX6" s="114"/>
      <c r="BY6" s="114"/>
      <c r="BZ6" s="114">
        <f>BU6+7</f>
        <v>45859</v>
      </c>
      <c r="CA6" s="114"/>
      <c r="CB6" s="114"/>
      <c r="CC6" s="114"/>
      <c r="CD6" s="114"/>
      <c r="CE6" s="114">
        <f>BZ6+7</f>
        <v>45866</v>
      </c>
      <c r="CF6" s="114"/>
      <c r="CG6" s="114"/>
      <c r="CH6" s="114"/>
      <c r="CI6" s="114"/>
      <c r="CJ6" s="114">
        <f>CE6+7</f>
        <v>45873</v>
      </c>
      <c r="CK6" s="114"/>
      <c r="CL6" s="114"/>
      <c r="CM6" s="114"/>
      <c r="CN6" s="114"/>
    </row>
    <row r="7" spans="1:92" ht="17.45" customHeight="1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45761</v>
      </c>
      <c r="I7" s="63">
        <f>H7+1</f>
        <v>45762</v>
      </c>
      <c r="J7" s="63">
        <f t="shared" ref="J7:L7" si="0">I7+1</f>
        <v>45763</v>
      </c>
      <c r="K7" s="63">
        <f t="shared" si="0"/>
        <v>45764</v>
      </c>
      <c r="L7" s="63">
        <f t="shared" si="0"/>
        <v>45765</v>
      </c>
      <c r="M7" s="63">
        <f>M6</f>
        <v>45768</v>
      </c>
      <c r="N7" s="63">
        <f>M7+1</f>
        <v>45769</v>
      </c>
      <c r="O7" s="63">
        <f t="shared" ref="O7:Q7" si="1">N7+1</f>
        <v>45770</v>
      </c>
      <c r="P7" s="63">
        <f t="shared" si="1"/>
        <v>45771</v>
      </c>
      <c r="Q7" s="63">
        <f t="shared" si="1"/>
        <v>45772</v>
      </c>
      <c r="R7" s="63">
        <f>R6</f>
        <v>45775</v>
      </c>
      <c r="S7" s="63">
        <f>R7+1</f>
        <v>45776</v>
      </c>
      <c r="T7" s="63">
        <f t="shared" ref="T7:V7" si="2">S7+1</f>
        <v>45777</v>
      </c>
      <c r="U7" s="63">
        <f t="shared" si="2"/>
        <v>45778</v>
      </c>
      <c r="V7" s="63">
        <f t="shared" si="2"/>
        <v>45779</v>
      </c>
      <c r="W7" s="84">
        <f>W6</f>
        <v>45782</v>
      </c>
      <c r="X7" s="63">
        <f>W7+1</f>
        <v>45783</v>
      </c>
      <c r="Y7" s="63">
        <f t="shared" ref="Y7:AA7" si="3">X7+1</f>
        <v>45784</v>
      </c>
      <c r="Z7" s="63">
        <f t="shared" si="3"/>
        <v>45785</v>
      </c>
      <c r="AA7" s="84">
        <f t="shared" si="3"/>
        <v>45786</v>
      </c>
      <c r="AB7" s="84">
        <f>AB6</f>
        <v>45789</v>
      </c>
      <c r="AC7" s="63">
        <f>AB7+1</f>
        <v>45790</v>
      </c>
      <c r="AD7" s="63">
        <f t="shared" ref="AD7:AF7" si="4">AC7+1</f>
        <v>45791</v>
      </c>
      <c r="AE7" s="63">
        <f t="shared" si="4"/>
        <v>45792</v>
      </c>
      <c r="AF7" s="63">
        <f t="shared" si="4"/>
        <v>45793</v>
      </c>
      <c r="AG7" s="63">
        <f>AG6</f>
        <v>45796</v>
      </c>
      <c r="AH7" s="63">
        <f>AG7+1</f>
        <v>45797</v>
      </c>
      <c r="AI7" s="63">
        <f t="shared" ref="AI7:AK7" si="5">AH7+1</f>
        <v>45798</v>
      </c>
      <c r="AJ7" s="63">
        <f t="shared" si="5"/>
        <v>45799</v>
      </c>
      <c r="AK7" s="63">
        <f t="shared" si="5"/>
        <v>45800</v>
      </c>
      <c r="AL7" s="63">
        <f>AL6</f>
        <v>45803</v>
      </c>
      <c r="AM7" s="63">
        <f>AL7+1</f>
        <v>45804</v>
      </c>
      <c r="AN7" s="63">
        <f t="shared" ref="AN7:AP7" si="6">AM7+1</f>
        <v>45805</v>
      </c>
      <c r="AO7" s="63">
        <f t="shared" si="6"/>
        <v>45806</v>
      </c>
      <c r="AP7" s="63">
        <f t="shared" si="6"/>
        <v>45807</v>
      </c>
      <c r="AQ7" s="63">
        <f>AQ6</f>
        <v>45810</v>
      </c>
      <c r="AR7" s="63">
        <f>AQ7+1</f>
        <v>45811</v>
      </c>
      <c r="AS7" s="63">
        <f t="shared" ref="AS7:AU7" si="7">AR7+1</f>
        <v>45812</v>
      </c>
      <c r="AT7" s="63">
        <f t="shared" si="7"/>
        <v>45813</v>
      </c>
      <c r="AU7" s="63">
        <f t="shared" si="7"/>
        <v>45814</v>
      </c>
      <c r="AV7" s="63">
        <f>AV6</f>
        <v>45817</v>
      </c>
      <c r="AW7" s="63">
        <f>AV7+1</f>
        <v>45818</v>
      </c>
      <c r="AX7" s="63">
        <f t="shared" ref="AX7:AZ7" si="8">AW7+1</f>
        <v>45819</v>
      </c>
      <c r="AY7" s="63">
        <f t="shared" si="8"/>
        <v>45820</v>
      </c>
      <c r="AZ7" s="63">
        <f t="shared" si="8"/>
        <v>45821</v>
      </c>
      <c r="BA7" s="63">
        <f>BA6</f>
        <v>45824</v>
      </c>
      <c r="BB7" s="63">
        <f>BA7+1</f>
        <v>45825</v>
      </c>
      <c r="BC7" s="63">
        <f t="shared" ref="BC7:BE7" si="9">BB7+1</f>
        <v>45826</v>
      </c>
      <c r="BD7" s="63">
        <f t="shared" si="9"/>
        <v>45827</v>
      </c>
      <c r="BE7" s="63">
        <f t="shared" si="9"/>
        <v>45828</v>
      </c>
      <c r="BF7" s="63">
        <f>BF6</f>
        <v>45831</v>
      </c>
      <c r="BG7" s="63">
        <f>BF7+1</f>
        <v>45832</v>
      </c>
      <c r="BH7" s="63">
        <f t="shared" ref="BH7:BJ7" si="10">BG7+1</f>
        <v>45833</v>
      </c>
      <c r="BI7" s="63">
        <f t="shared" si="10"/>
        <v>45834</v>
      </c>
      <c r="BJ7" s="63">
        <f t="shared" si="10"/>
        <v>45835</v>
      </c>
      <c r="BK7" s="63">
        <f>BK6</f>
        <v>45838</v>
      </c>
      <c r="BL7" s="63">
        <f>BK7+1</f>
        <v>45839</v>
      </c>
      <c r="BM7" s="63">
        <f t="shared" ref="BM7:BO7" si="11">BL7+1</f>
        <v>45840</v>
      </c>
      <c r="BN7" s="63">
        <f t="shared" si="11"/>
        <v>45841</v>
      </c>
      <c r="BO7" s="63">
        <f t="shared" si="11"/>
        <v>45842</v>
      </c>
      <c r="BP7" s="63">
        <f>BP6</f>
        <v>45845</v>
      </c>
      <c r="BQ7" s="63">
        <f>BP7+1</f>
        <v>45846</v>
      </c>
      <c r="BR7" s="63">
        <f t="shared" ref="BR7:BT7" si="12">BQ7+1</f>
        <v>45847</v>
      </c>
      <c r="BS7" s="63">
        <f t="shared" si="12"/>
        <v>45848</v>
      </c>
      <c r="BT7" s="63">
        <f t="shared" si="12"/>
        <v>45849</v>
      </c>
      <c r="BU7" s="63">
        <f>BU6</f>
        <v>45852</v>
      </c>
      <c r="BV7" s="63">
        <f>BU7+1</f>
        <v>45853</v>
      </c>
      <c r="BW7" s="63">
        <f t="shared" ref="BW7:BY7" si="13">BV7+1</f>
        <v>45854</v>
      </c>
      <c r="BX7" s="63">
        <f t="shared" si="13"/>
        <v>45855</v>
      </c>
      <c r="BY7" s="63">
        <f t="shared" si="13"/>
        <v>45856</v>
      </c>
      <c r="BZ7" s="84">
        <f>BZ6</f>
        <v>45859</v>
      </c>
      <c r="CA7" s="63">
        <f>BZ7+1</f>
        <v>45860</v>
      </c>
      <c r="CB7" s="63">
        <f t="shared" ref="CB7:CD7" si="14">CA7+1</f>
        <v>45861</v>
      </c>
      <c r="CC7" s="63">
        <f t="shared" si="14"/>
        <v>45862</v>
      </c>
      <c r="CD7" s="63">
        <f t="shared" si="14"/>
        <v>45863</v>
      </c>
      <c r="CE7" s="63">
        <f>CE6</f>
        <v>45866</v>
      </c>
      <c r="CF7" s="63">
        <f>CE7+1</f>
        <v>45867</v>
      </c>
      <c r="CG7" s="63">
        <f t="shared" ref="CG7:CI7" si="15">CF7+1</f>
        <v>45868</v>
      </c>
      <c r="CH7" s="63">
        <f t="shared" si="15"/>
        <v>45869</v>
      </c>
      <c r="CI7" s="63">
        <f t="shared" si="15"/>
        <v>45870</v>
      </c>
      <c r="CJ7" s="63">
        <f>CJ6</f>
        <v>45873</v>
      </c>
      <c r="CK7" s="63">
        <f>CJ7+1</f>
        <v>45874</v>
      </c>
      <c r="CL7" s="63">
        <f t="shared" ref="CL7:CN7" si="16">CK7+1</f>
        <v>45875</v>
      </c>
      <c r="CM7" s="63">
        <f t="shared" si="16"/>
        <v>45876</v>
      </c>
      <c r="CN7" s="63">
        <f t="shared" si="16"/>
        <v>45877</v>
      </c>
    </row>
    <row r="8" spans="1:92" ht="19.5" customHeight="1" x14ac:dyDescent="0.45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24" customHeight="1" x14ac:dyDescent="0.45">
      <c r="A9" s="3" t="s">
        <v>20</v>
      </c>
      <c r="B9" s="4" t="s">
        <v>21</v>
      </c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24" customHeight="1" x14ac:dyDescent="0.45">
      <c r="A10" s="57" t="s">
        <v>22</v>
      </c>
      <c r="B10" s="10" t="s">
        <v>23</v>
      </c>
      <c r="C10" s="11">
        <v>100</v>
      </c>
      <c r="D10" s="12">
        <v>45778</v>
      </c>
      <c r="E10" s="12">
        <v>45785</v>
      </c>
      <c r="F10" s="12">
        <v>45778</v>
      </c>
      <c r="G10" s="12">
        <v>45781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85"/>
      <c r="V10" s="85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24" customHeight="1" x14ac:dyDescent="0.45">
      <c r="A11" s="57" t="s">
        <v>24</v>
      </c>
      <c r="B11" s="10" t="s">
        <v>38</v>
      </c>
      <c r="C11" s="11"/>
      <c r="D11" s="12"/>
      <c r="E11" s="12"/>
      <c r="F11" s="12"/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24" customHeight="1" x14ac:dyDescent="0.45">
      <c r="A12" s="57" t="s">
        <v>26</v>
      </c>
      <c r="B12" s="10" t="s">
        <v>23</v>
      </c>
      <c r="C12" s="11">
        <v>100</v>
      </c>
      <c r="D12" s="12">
        <v>45778</v>
      </c>
      <c r="E12" s="12">
        <v>45785</v>
      </c>
      <c r="F12" s="12">
        <v>45778</v>
      </c>
      <c r="G12" s="12">
        <v>45781</v>
      </c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85"/>
      <c r="V12" s="85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24" customHeight="1" x14ac:dyDescent="0.45">
      <c r="A13" s="57" t="s">
        <v>27</v>
      </c>
      <c r="B13" s="10" t="s">
        <v>28</v>
      </c>
      <c r="C13" s="11">
        <v>100</v>
      </c>
      <c r="D13" s="12">
        <v>45784</v>
      </c>
      <c r="E13" s="12">
        <v>45788</v>
      </c>
      <c r="F13" s="12">
        <v>45784</v>
      </c>
      <c r="G13" s="12">
        <v>45788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85"/>
      <c r="Z13" s="85"/>
      <c r="AA13" s="85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24" customHeight="1" x14ac:dyDescent="0.45">
      <c r="A14" s="57" t="s">
        <v>49</v>
      </c>
      <c r="B14" s="10" t="s">
        <v>38</v>
      </c>
      <c r="C14" s="11">
        <v>100</v>
      </c>
      <c r="D14" s="12">
        <v>45813</v>
      </c>
      <c r="E14" s="12">
        <v>45813</v>
      </c>
      <c r="F14" s="12">
        <v>45813</v>
      </c>
      <c r="G14" s="12">
        <v>45813</v>
      </c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24" customHeight="1" x14ac:dyDescent="0.45">
      <c r="A15" s="57" t="s">
        <v>50</v>
      </c>
      <c r="B15" s="10" t="s">
        <v>38</v>
      </c>
      <c r="C15" s="11"/>
      <c r="D15" s="12">
        <v>45828</v>
      </c>
      <c r="E15" s="12">
        <v>45830</v>
      </c>
      <c r="F15" s="12"/>
      <c r="G15" s="12"/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24" customHeight="1" x14ac:dyDescent="0.45">
      <c r="A16" s="16" t="s">
        <v>30</v>
      </c>
      <c r="B16" s="17" t="s">
        <v>21</v>
      </c>
      <c r="C16" s="18"/>
      <c r="D16" s="19"/>
      <c r="E16" s="19"/>
      <c r="F16" s="19"/>
      <c r="G16" s="19"/>
      <c r="H16" s="20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  <c r="BT16" s="21"/>
      <c r="BU16" s="21"/>
      <c r="BV16" s="21"/>
      <c r="BW16" s="21"/>
      <c r="BX16" s="21"/>
      <c r="BY16" s="21"/>
      <c r="BZ16" s="21"/>
      <c r="CA16" s="21"/>
      <c r="CB16" s="21"/>
      <c r="CC16" s="21"/>
      <c r="CD16" s="21"/>
      <c r="CE16" s="21"/>
      <c r="CF16" s="21"/>
      <c r="CG16" s="21"/>
      <c r="CH16" s="21"/>
      <c r="CI16" s="21"/>
      <c r="CJ16" s="21"/>
      <c r="CK16" s="21"/>
      <c r="CL16" s="21"/>
      <c r="CM16" s="21"/>
      <c r="CN16" s="22"/>
    </row>
    <row r="17" spans="1:92" ht="24" customHeight="1" x14ac:dyDescent="0.45">
      <c r="A17" s="58" t="s">
        <v>51</v>
      </c>
      <c r="B17" s="23" t="s">
        <v>28</v>
      </c>
      <c r="C17" s="24">
        <v>100</v>
      </c>
      <c r="D17" s="25">
        <v>45779</v>
      </c>
      <c r="E17" s="25">
        <v>45783</v>
      </c>
      <c r="F17" s="25">
        <v>45779</v>
      </c>
      <c r="G17" s="25">
        <v>45811</v>
      </c>
      <c r="H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  <c r="BG17" s="27"/>
      <c r="BH17" s="27"/>
      <c r="BI17" s="27"/>
      <c r="BJ17" s="27"/>
      <c r="BK17" s="27"/>
      <c r="BL17" s="27"/>
      <c r="BM17" s="27"/>
      <c r="BN17" s="27"/>
      <c r="BO17" s="27"/>
      <c r="BP17" s="27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  <c r="CE17" s="27"/>
      <c r="CF17" s="27"/>
      <c r="CG17" s="27"/>
      <c r="CH17" s="27"/>
      <c r="CI17" s="27"/>
      <c r="CJ17" s="27"/>
      <c r="CK17" s="27"/>
      <c r="CL17" s="27"/>
      <c r="CM17" s="27"/>
      <c r="CN17" s="28"/>
    </row>
    <row r="18" spans="1:92" ht="24" customHeight="1" x14ac:dyDescent="0.45">
      <c r="A18" s="58" t="s">
        <v>52</v>
      </c>
      <c r="B18" s="23" t="s">
        <v>28</v>
      </c>
      <c r="C18" s="24">
        <v>0</v>
      </c>
      <c r="D18" s="25"/>
      <c r="E18" s="25"/>
      <c r="F18" s="25"/>
      <c r="G18" s="25"/>
      <c r="H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  <c r="BG18" s="27"/>
      <c r="BH18" s="27"/>
      <c r="BI18" s="27"/>
      <c r="BJ18" s="27"/>
      <c r="BK18" s="27"/>
      <c r="BL18" s="27"/>
      <c r="BM18" s="27"/>
      <c r="BN18" s="27"/>
      <c r="BO18" s="27"/>
      <c r="BP18" s="27"/>
      <c r="BQ18" s="27"/>
      <c r="BR18" s="27"/>
      <c r="BS18" s="27"/>
      <c r="BT18" s="27"/>
      <c r="BU18" s="27"/>
      <c r="BV18" s="27"/>
      <c r="BW18" s="27"/>
      <c r="BX18" s="27"/>
      <c r="BY18" s="27"/>
      <c r="BZ18" s="27"/>
      <c r="CA18" s="27"/>
      <c r="CB18" s="27"/>
      <c r="CC18" s="27"/>
      <c r="CD18" s="27"/>
      <c r="CE18" s="27"/>
      <c r="CF18" s="27"/>
      <c r="CG18" s="27"/>
      <c r="CH18" s="27"/>
      <c r="CI18" s="27"/>
      <c r="CJ18" s="27"/>
      <c r="CK18" s="27"/>
      <c r="CL18" s="27"/>
      <c r="CM18" s="27"/>
      <c r="CN18" s="28"/>
    </row>
    <row r="19" spans="1:92" ht="24" customHeight="1" x14ac:dyDescent="0.45">
      <c r="A19" s="58" t="s">
        <v>53</v>
      </c>
      <c r="B19" s="23" t="s">
        <v>38</v>
      </c>
      <c r="C19" s="24">
        <v>100</v>
      </c>
      <c r="D19" s="25">
        <v>45796</v>
      </c>
      <c r="E19" s="25">
        <v>45808</v>
      </c>
      <c r="F19" s="25">
        <v>45802</v>
      </c>
      <c r="G19" s="25">
        <v>45812</v>
      </c>
      <c r="H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  <c r="BG19" s="27"/>
      <c r="BH19" s="27"/>
      <c r="BI19" s="27"/>
      <c r="BJ19" s="27"/>
      <c r="BK19" s="27"/>
      <c r="BL19" s="27"/>
      <c r="BM19" s="27"/>
      <c r="BN19" s="27"/>
      <c r="BO19" s="27"/>
      <c r="BP19" s="27"/>
      <c r="BQ19" s="27"/>
      <c r="BR19" s="27"/>
      <c r="BS19" s="27"/>
      <c r="BT19" s="27"/>
      <c r="BU19" s="27"/>
      <c r="BV19" s="27"/>
      <c r="BW19" s="27"/>
      <c r="BX19" s="27"/>
      <c r="BY19" s="27"/>
      <c r="BZ19" s="27"/>
      <c r="CA19" s="27"/>
      <c r="CB19" s="27"/>
      <c r="CC19" s="27"/>
      <c r="CD19" s="27"/>
      <c r="CE19" s="27"/>
      <c r="CF19" s="27"/>
      <c r="CG19" s="27"/>
      <c r="CH19" s="27"/>
      <c r="CI19" s="27"/>
      <c r="CJ19" s="27"/>
      <c r="CK19" s="27"/>
      <c r="CL19" s="27"/>
      <c r="CM19" s="27"/>
      <c r="CN19" s="28"/>
    </row>
    <row r="20" spans="1:92" ht="24" customHeight="1" x14ac:dyDescent="0.45">
      <c r="A20" s="58" t="s">
        <v>54</v>
      </c>
      <c r="B20" s="23" t="s">
        <v>38</v>
      </c>
      <c r="C20" s="24">
        <v>100</v>
      </c>
      <c r="D20" s="25">
        <v>45811</v>
      </c>
      <c r="E20" s="25">
        <v>45812</v>
      </c>
      <c r="F20" s="25">
        <v>45811</v>
      </c>
      <c r="G20" s="25">
        <v>45812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24" customHeight="1" x14ac:dyDescent="0.45">
      <c r="A21" s="58" t="s">
        <v>55</v>
      </c>
      <c r="B21" s="23" t="s">
        <v>56</v>
      </c>
      <c r="C21" s="24">
        <v>100</v>
      </c>
      <c r="D21" s="25"/>
      <c r="E21" s="25"/>
      <c r="F21" s="25"/>
      <c r="G21" s="25">
        <v>45833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24" customHeight="1" x14ac:dyDescent="0.45">
      <c r="A22" s="29" t="s">
        <v>36</v>
      </c>
      <c r="B22" s="30" t="s">
        <v>37</v>
      </c>
      <c r="C22" s="31"/>
      <c r="D22" s="32"/>
      <c r="E22" s="32"/>
      <c r="F22" s="32"/>
      <c r="G22" s="32"/>
      <c r="H22" s="33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  <c r="AL22" s="34"/>
      <c r="AM22" s="34"/>
      <c r="AN22" s="34"/>
      <c r="AO22" s="34"/>
      <c r="AP22" s="34"/>
      <c r="AQ22" s="34"/>
      <c r="AR22" s="34"/>
      <c r="AS22" s="34"/>
      <c r="AT22" s="34"/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  <c r="CD22" s="34"/>
      <c r="CE22" s="34"/>
      <c r="CF22" s="34"/>
      <c r="CG22" s="34"/>
      <c r="CH22" s="34"/>
      <c r="CI22" s="34"/>
      <c r="CJ22" s="34"/>
      <c r="CK22" s="34"/>
      <c r="CL22" s="34"/>
      <c r="CM22" s="34"/>
      <c r="CN22" s="35"/>
    </row>
    <row r="23" spans="1:92" ht="24" customHeight="1" x14ac:dyDescent="0.45">
      <c r="A23" s="59" t="s">
        <v>57</v>
      </c>
      <c r="B23" s="36" t="s">
        <v>25</v>
      </c>
      <c r="C23" s="37">
        <v>100</v>
      </c>
      <c r="D23" s="38">
        <v>45784</v>
      </c>
      <c r="E23" s="38">
        <v>45810</v>
      </c>
      <c r="F23" s="38">
        <v>45784</v>
      </c>
      <c r="G23" s="38"/>
      <c r="H23" s="39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1"/>
    </row>
    <row r="24" spans="1:92" ht="24" customHeight="1" x14ac:dyDescent="0.45">
      <c r="A24" s="59" t="s">
        <v>27</v>
      </c>
      <c r="B24" s="36" t="s">
        <v>38</v>
      </c>
      <c r="C24" s="37">
        <v>100</v>
      </c>
      <c r="D24" s="38">
        <v>45789</v>
      </c>
      <c r="E24" s="38">
        <v>45795</v>
      </c>
      <c r="F24" s="38">
        <v>45793</v>
      </c>
      <c r="G24" s="38">
        <v>45793</v>
      </c>
      <c r="H24" s="39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85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1"/>
    </row>
    <row r="25" spans="1:92" ht="24" customHeight="1" x14ac:dyDescent="0.45">
      <c r="A25" s="59" t="s">
        <v>39</v>
      </c>
      <c r="B25" s="36" t="s">
        <v>58</v>
      </c>
      <c r="C25" s="37"/>
      <c r="D25" s="38">
        <v>45786</v>
      </c>
      <c r="E25" s="38">
        <v>45810</v>
      </c>
      <c r="F25" s="38">
        <v>45803</v>
      </c>
      <c r="G25" s="38"/>
      <c r="H25" s="39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1"/>
    </row>
    <row r="26" spans="1:92" ht="24" customHeight="1" x14ac:dyDescent="0.45">
      <c r="A26" s="59" t="s">
        <v>59</v>
      </c>
      <c r="B26" s="36" t="s">
        <v>56</v>
      </c>
      <c r="C26" s="37">
        <v>100</v>
      </c>
      <c r="D26" s="38">
        <v>45786</v>
      </c>
      <c r="E26" s="38">
        <v>45810</v>
      </c>
      <c r="F26" s="38"/>
      <c r="G26" s="38"/>
      <c r="H26" s="39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1"/>
    </row>
    <row r="27" spans="1:92" ht="24" customHeight="1" x14ac:dyDescent="0.45">
      <c r="A27" s="59" t="s">
        <v>60</v>
      </c>
      <c r="B27" s="36" t="s">
        <v>61</v>
      </c>
      <c r="C27" s="37">
        <v>100</v>
      </c>
      <c r="D27" s="38">
        <v>45798</v>
      </c>
      <c r="E27" s="38">
        <v>45809</v>
      </c>
      <c r="F27" s="38">
        <v>45798</v>
      </c>
      <c r="G27" s="38">
        <v>45808</v>
      </c>
      <c r="H27" s="39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1"/>
    </row>
    <row r="28" spans="1:92" ht="24" customHeight="1" x14ac:dyDescent="0.45">
      <c r="A28" s="42" t="s">
        <v>42</v>
      </c>
      <c r="B28" s="43" t="s">
        <v>37</v>
      </c>
      <c r="C28" s="44"/>
      <c r="D28" s="45"/>
      <c r="E28" s="45"/>
      <c r="F28" s="45"/>
      <c r="G28" s="45"/>
      <c r="H28" s="46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47"/>
      <c r="AW28" s="47"/>
      <c r="AX28" s="47"/>
      <c r="AY28" s="47"/>
      <c r="AZ28" s="47"/>
      <c r="BA28" s="47"/>
      <c r="BB28" s="47"/>
      <c r="BC28" s="47"/>
      <c r="BD28" s="47"/>
      <c r="BE28" s="47"/>
      <c r="BF28" s="47"/>
      <c r="BG28" s="47"/>
      <c r="BH28" s="47"/>
      <c r="BI28" s="47"/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7"/>
      <c r="CB28" s="47"/>
      <c r="CC28" s="47"/>
      <c r="CD28" s="47"/>
      <c r="CE28" s="47"/>
      <c r="CF28" s="47"/>
      <c r="CG28" s="47"/>
      <c r="CH28" s="47"/>
      <c r="CI28" s="47"/>
      <c r="CJ28" s="47"/>
      <c r="CK28" s="47"/>
      <c r="CL28" s="47"/>
      <c r="CM28" s="47"/>
      <c r="CN28" s="48"/>
    </row>
    <row r="29" spans="1:92" ht="24" customHeight="1" x14ac:dyDescent="0.45">
      <c r="A29" s="60" t="s">
        <v>43</v>
      </c>
      <c r="B29" s="49" t="s">
        <v>38</v>
      </c>
      <c r="C29" s="50">
        <v>80</v>
      </c>
      <c r="D29" s="51">
        <v>45779</v>
      </c>
      <c r="E29" s="51">
        <v>45783</v>
      </c>
      <c r="F29" s="51">
        <v>45779</v>
      </c>
      <c r="G29" s="51"/>
      <c r="H29" s="52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  <c r="BT29" s="53"/>
      <c r="BU29" s="53"/>
      <c r="BV29" s="53"/>
      <c r="BW29" s="53"/>
      <c r="BX29" s="53"/>
      <c r="BY29" s="53"/>
      <c r="BZ29" s="53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4"/>
    </row>
    <row r="30" spans="1:92" ht="24" customHeight="1" x14ac:dyDescent="0.45">
      <c r="A30" s="60" t="s">
        <v>44</v>
      </c>
      <c r="B30" s="49" t="s">
        <v>38</v>
      </c>
      <c r="C30" s="50">
        <v>0</v>
      </c>
      <c r="D30" s="51">
        <v>45793</v>
      </c>
      <c r="E30" s="51">
        <v>45800</v>
      </c>
      <c r="F30" s="51">
        <v>45793</v>
      </c>
      <c r="G30" s="51"/>
      <c r="H30" s="52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  <c r="BT30" s="53"/>
      <c r="BU30" s="53"/>
      <c r="BV30" s="53"/>
      <c r="BW30" s="53"/>
      <c r="BX30" s="53"/>
      <c r="BY30" s="53"/>
      <c r="BZ30" s="53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4"/>
    </row>
    <row r="31" spans="1:92" ht="24" customHeight="1" x14ac:dyDescent="0.45">
      <c r="A31" s="60" t="s">
        <v>62</v>
      </c>
      <c r="B31" s="49" t="s">
        <v>38</v>
      </c>
      <c r="C31" s="50"/>
      <c r="D31" s="51"/>
      <c r="E31" s="51"/>
      <c r="F31" s="51"/>
      <c r="G31" s="51"/>
      <c r="H31" s="52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  <c r="BT31" s="53"/>
      <c r="BU31" s="53"/>
      <c r="BV31" s="53"/>
      <c r="BW31" s="53"/>
      <c r="BX31" s="53"/>
      <c r="BY31" s="53"/>
      <c r="BZ31" s="53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4"/>
    </row>
    <row r="32" spans="1:92" ht="24" customHeight="1" x14ac:dyDescent="0.45">
      <c r="A32" s="60" t="s">
        <v>40</v>
      </c>
      <c r="B32" s="49"/>
      <c r="C32" s="50"/>
      <c r="D32" s="51"/>
      <c r="E32" s="51"/>
      <c r="F32" s="51"/>
      <c r="G32" s="51"/>
      <c r="H32" s="52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  <c r="BT32" s="53"/>
      <c r="BU32" s="53"/>
      <c r="BV32" s="53"/>
      <c r="BW32" s="53"/>
      <c r="BX32" s="53"/>
      <c r="BY32" s="53"/>
      <c r="BZ32" s="53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4"/>
    </row>
    <row r="33" spans="1:92" ht="24" customHeight="1" x14ac:dyDescent="0.45">
      <c r="A33" s="60" t="s">
        <v>41</v>
      </c>
      <c r="B33" s="49"/>
      <c r="C33" s="50"/>
      <c r="D33" s="51"/>
      <c r="E33" s="51"/>
      <c r="F33" s="51"/>
      <c r="G33" s="51"/>
      <c r="H33" s="52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  <c r="BT33" s="53"/>
      <c r="BU33" s="53"/>
      <c r="BV33" s="53"/>
      <c r="BW33" s="53"/>
      <c r="BX33" s="53"/>
      <c r="BY33" s="53"/>
      <c r="BZ33" s="53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4"/>
    </row>
    <row r="34" spans="1:92" ht="24" customHeight="1" x14ac:dyDescent="0.45">
      <c r="A34" s="69" t="s">
        <v>46</v>
      </c>
      <c r="B34" s="70"/>
      <c r="C34" s="71"/>
      <c r="D34" s="72"/>
      <c r="E34" s="72"/>
      <c r="F34" s="72"/>
      <c r="G34" s="72"/>
      <c r="H34" s="73"/>
      <c r="I34" s="74"/>
      <c r="J34" s="74"/>
      <c r="K34" s="74"/>
      <c r="L34" s="74"/>
      <c r="M34" s="74"/>
      <c r="N34" s="74"/>
      <c r="O34" s="74"/>
      <c r="P34" s="74"/>
      <c r="Q34" s="74"/>
      <c r="R34" s="74"/>
      <c r="S34" s="74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4"/>
      <c r="AG34" s="74"/>
      <c r="AH34" s="74"/>
      <c r="AI34" s="74"/>
      <c r="AJ34" s="74"/>
      <c r="AK34" s="74"/>
      <c r="AL34" s="74"/>
      <c r="AM34" s="74"/>
      <c r="AN34" s="74"/>
      <c r="AO34" s="74"/>
      <c r="AP34" s="74"/>
      <c r="AQ34" s="74"/>
      <c r="AR34" s="74"/>
      <c r="AS34" s="74"/>
      <c r="AT34" s="74"/>
      <c r="AU34" s="74"/>
      <c r="AV34" s="74"/>
      <c r="AW34" s="74"/>
      <c r="AX34" s="74"/>
      <c r="AY34" s="74"/>
      <c r="AZ34" s="74"/>
      <c r="BA34" s="74"/>
      <c r="BB34" s="74"/>
      <c r="BC34" s="74"/>
      <c r="BD34" s="74"/>
      <c r="BE34" s="74"/>
      <c r="BF34" s="74"/>
      <c r="BG34" s="74"/>
      <c r="BH34" s="74"/>
      <c r="BI34" s="74"/>
      <c r="BJ34" s="74"/>
      <c r="BK34" s="74"/>
      <c r="BL34" s="74"/>
      <c r="BM34" s="74"/>
      <c r="BN34" s="74"/>
      <c r="BO34" s="74"/>
      <c r="BP34" s="74"/>
      <c r="BQ34" s="74"/>
      <c r="BR34" s="74"/>
      <c r="BS34" s="74"/>
      <c r="BT34" s="74"/>
      <c r="BU34" s="74"/>
      <c r="BV34" s="74"/>
      <c r="BW34" s="74"/>
      <c r="BX34" s="74"/>
      <c r="BY34" s="74"/>
      <c r="BZ34" s="74"/>
      <c r="CA34" s="74"/>
      <c r="CB34" s="74"/>
      <c r="CC34" s="74"/>
      <c r="CD34" s="74"/>
      <c r="CE34" s="74"/>
      <c r="CF34" s="74"/>
      <c r="CG34" s="74"/>
      <c r="CH34" s="74"/>
      <c r="CI34" s="74"/>
      <c r="CJ34" s="74"/>
      <c r="CK34" s="74"/>
      <c r="CL34" s="74"/>
      <c r="CM34" s="74"/>
      <c r="CN34" s="75"/>
    </row>
    <row r="35" spans="1:92" ht="25.5" customHeight="1" x14ac:dyDescent="0.45">
      <c r="A35" s="76" t="s">
        <v>47</v>
      </c>
      <c r="B35" s="77"/>
      <c r="C35" s="78"/>
      <c r="D35" s="79"/>
      <c r="E35" s="79"/>
      <c r="F35" s="79"/>
      <c r="G35" s="79"/>
      <c r="H35" s="80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AY35" s="81"/>
      <c r="AZ35" s="81"/>
      <c r="BA35" s="81"/>
      <c r="BB35" s="81"/>
      <c r="BC35" s="81"/>
      <c r="BD35" s="81"/>
      <c r="BE35" s="81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2"/>
    </row>
    <row r="36" spans="1:92" ht="24" customHeight="1" x14ac:dyDescent="0.45">
      <c r="A36" s="68" t="s">
        <v>48</v>
      </c>
      <c r="B36" s="55"/>
      <c r="C36" s="56"/>
      <c r="D36" s="56"/>
      <c r="E36" s="56"/>
      <c r="F36" s="55"/>
      <c r="G36" s="55"/>
      <c r="H36" s="55"/>
      <c r="I36" s="55"/>
      <c r="J36" s="55"/>
      <c r="K36" s="55"/>
      <c r="L36" s="55"/>
      <c r="M36" s="55"/>
      <c r="N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  <c r="AE36" s="55"/>
      <c r="AF36" s="55"/>
      <c r="AG36" s="55"/>
      <c r="AH36" s="55"/>
      <c r="AI36" s="55"/>
      <c r="AJ36" s="55"/>
      <c r="AK36" s="55"/>
      <c r="AL36" s="55"/>
      <c r="AM36" s="55"/>
      <c r="AN36" s="55"/>
      <c r="AO36" s="55"/>
      <c r="AP36" s="55"/>
      <c r="AQ36" s="55"/>
      <c r="AR36" s="55"/>
      <c r="AS36" s="55"/>
      <c r="AT36" s="55"/>
      <c r="AU36" s="55"/>
      <c r="AV36" s="55"/>
      <c r="AW36" s="55"/>
      <c r="AX36" s="55"/>
      <c r="AY36" s="55"/>
      <c r="AZ36" s="55"/>
      <c r="BA36" s="55"/>
      <c r="BB36" s="55"/>
      <c r="BC36" s="55"/>
      <c r="BD36" s="55"/>
      <c r="BE36" s="55"/>
      <c r="BF36" s="55"/>
      <c r="BG36" s="55"/>
      <c r="BH36" s="55"/>
      <c r="BI36" s="55"/>
      <c r="BJ36" s="55"/>
      <c r="BK36" s="55"/>
      <c r="BL36" s="55"/>
      <c r="BM36" s="55"/>
      <c r="BN36" s="55"/>
      <c r="BO36" s="55"/>
      <c r="BP36" s="55"/>
      <c r="BQ36" s="55"/>
      <c r="BR36" s="55"/>
      <c r="BS36" s="55"/>
      <c r="BT36" s="55"/>
      <c r="BU36" s="55"/>
      <c r="BV36" s="55"/>
      <c r="BW36" s="55"/>
      <c r="BX36" s="55"/>
      <c r="BY36" s="55"/>
      <c r="BZ36" s="55"/>
      <c r="CA36" s="55"/>
      <c r="CB36" s="55"/>
      <c r="CC36" s="55"/>
      <c r="CD36" s="55"/>
      <c r="CE36" s="55"/>
      <c r="CF36" s="55"/>
      <c r="CG36" s="55"/>
      <c r="CH36" s="55"/>
      <c r="CI36" s="55"/>
      <c r="CJ36" s="55"/>
      <c r="CK36" s="55"/>
      <c r="CL36" s="55"/>
      <c r="CM36" s="55"/>
      <c r="CN36" s="55"/>
    </row>
    <row r="37" spans="1:92" ht="24" customHeight="1" x14ac:dyDescent="0.45"/>
    <row r="38" spans="1:92" ht="24" customHeight="1" x14ac:dyDescent="0.45"/>
    <row r="39" spans="1:92" ht="17.45" customHeight="1" x14ac:dyDescent="0.45"/>
    <row r="40" spans="1:92" ht="17.45" customHeight="1" x14ac:dyDescent="0.45"/>
  </sheetData>
  <sheetProtection insertRows="0"/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9:G35">
    <cfRule type="expression" dxfId="1" priority="1">
      <formula>D9&lt;F9</formula>
    </cfRule>
  </conditionalFormatting>
  <pageMargins left="0.51181102362204722" right="0.27559055118110237" top="0.35433070866141736" bottom="0.23622047244094491" header="0.31496062992125984" footer="0.11811023622047245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F3143-E3BF-4336-936F-779FA273A598}">
  <dimension ref="A1:CN51"/>
  <sheetViews>
    <sheetView tabSelected="1" topLeftCell="A18" zoomScale="115" zoomScaleNormal="115" workbookViewId="0">
      <selection activeCell="G31" sqref="G31"/>
    </sheetView>
  </sheetViews>
  <sheetFormatPr defaultRowHeight="15.75" x14ac:dyDescent="0.25"/>
  <cols>
    <col min="1" max="1" width="17" customWidth="1"/>
    <col min="2" max="2" width="0" hidden="1" customWidth="1"/>
    <col min="8" max="92" width="4.6640625" customWidth="1"/>
  </cols>
  <sheetData>
    <row r="1" spans="1:92" ht="22.5" x14ac:dyDescent="0.45">
      <c r="A1" s="67" t="s">
        <v>0</v>
      </c>
      <c r="B1" s="1"/>
      <c r="C1" s="2"/>
      <c r="D1" s="66" t="s">
        <v>1</v>
      </c>
      <c r="E1" s="115">
        <v>46280</v>
      </c>
      <c r="F1" s="115"/>
      <c r="G1" s="1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 spans="1:92" ht="18.75" x14ac:dyDescent="0.45">
      <c r="A2" s="116" t="s">
        <v>93</v>
      </c>
      <c r="B2" s="116"/>
      <c r="C2" s="116"/>
      <c r="D2" s="116"/>
      <c r="E2" s="116"/>
      <c r="F2" s="116"/>
      <c r="G2" s="116"/>
      <c r="H2" s="83"/>
      <c r="I2" s="83"/>
      <c r="J2" s="83"/>
      <c r="K2" s="83"/>
      <c r="L2" s="8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</row>
    <row r="3" spans="1:92" ht="18.75" x14ac:dyDescent="0.45">
      <c r="A3" s="116" t="s">
        <v>3</v>
      </c>
      <c r="B3" s="116"/>
      <c r="C3" s="116"/>
      <c r="D3" s="116"/>
      <c r="E3" s="116"/>
      <c r="F3" s="116"/>
      <c r="G3" s="116"/>
      <c r="H3" s="83"/>
      <c r="I3" s="83"/>
      <c r="J3" s="83"/>
      <c r="K3" s="83"/>
      <c r="L3" s="83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</row>
    <row r="4" spans="1:92" ht="18.75" x14ac:dyDescent="0.45">
      <c r="A4" s="116" t="s">
        <v>63</v>
      </c>
      <c r="B4" s="116"/>
      <c r="C4" s="116"/>
      <c r="D4" s="116"/>
      <c r="E4" s="116"/>
      <c r="F4" s="116"/>
      <c r="G4" s="116"/>
      <c r="H4" s="83"/>
      <c r="I4" s="83"/>
      <c r="J4" s="83"/>
      <c r="K4" s="83"/>
      <c r="L4" s="83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</row>
    <row r="5" spans="1:92" ht="18.75" x14ac:dyDescent="0.45">
      <c r="A5" s="1"/>
      <c r="B5" s="1"/>
      <c r="C5" s="2"/>
      <c r="D5" s="117"/>
      <c r="E5" s="117"/>
      <c r="F5" s="118"/>
      <c r="G5" s="118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 t="s">
        <v>5</v>
      </c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 t="s">
        <v>6</v>
      </c>
      <c r="BP5" s="1"/>
      <c r="BQ5" s="1"/>
      <c r="BR5" s="1"/>
      <c r="BS5" s="1"/>
      <c r="BT5" s="1"/>
      <c r="BU5" s="1"/>
      <c r="BV5" s="1"/>
      <c r="BW5" s="1"/>
      <c r="BX5" s="1" t="s">
        <v>7</v>
      </c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</row>
    <row r="6" spans="1:92" ht="18.75" x14ac:dyDescent="0.45">
      <c r="A6" s="65"/>
      <c r="B6" s="119"/>
      <c r="C6" s="119"/>
      <c r="D6" s="120"/>
      <c r="E6" s="120"/>
      <c r="F6" s="121"/>
      <c r="G6" s="122"/>
      <c r="H6" s="114">
        <f>H7</f>
        <v>46279</v>
      </c>
      <c r="I6" s="114"/>
      <c r="J6" s="114"/>
      <c r="K6" s="114"/>
      <c r="L6" s="114"/>
      <c r="M6" s="114">
        <f>H6+7</f>
        <v>46286</v>
      </c>
      <c r="N6" s="114"/>
      <c r="O6" s="114"/>
      <c r="P6" s="114"/>
      <c r="Q6" s="114"/>
      <c r="R6" s="114">
        <f>M6+7</f>
        <v>46293</v>
      </c>
      <c r="S6" s="114"/>
      <c r="T6" s="114"/>
      <c r="U6" s="114"/>
      <c r="V6" s="114"/>
      <c r="W6" s="114">
        <f>R6+7</f>
        <v>46300</v>
      </c>
      <c r="X6" s="114"/>
      <c r="Y6" s="114"/>
      <c r="Z6" s="114"/>
      <c r="AA6" s="114"/>
      <c r="AB6" s="114">
        <f>W6+7</f>
        <v>46307</v>
      </c>
      <c r="AC6" s="114"/>
      <c r="AD6" s="114"/>
      <c r="AE6" s="114"/>
      <c r="AF6" s="114"/>
      <c r="AG6" s="114">
        <f>AB6+7</f>
        <v>46314</v>
      </c>
      <c r="AH6" s="114"/>
      <c r="AI6" s="114"/>
      <c r="AJ6" s="114"/>
      <c r="AK6" s="114"/>
      <c r="AL6" s="114">
        <f>AG6+7</f>
        <v>46321</v>
      </c>
      <c r="AM6" s="114"/>
      <c r="AN6" s="114"/>
      <c r="AO6" s="114"/>
      <c r="AP6" s="114"/>
      <c r="AQ6" s="114">
        <f>AL6+7</f>
        <v>46328</v>
      </c>
      <c r="AR6" s="114"/>
      <c r="AS6" s="114"/>
      <c r="AT6" s="114"/>
      <c r="AU6" s="114"/>
      <c r="AV6" s="114">
        <f>AQ6+7</f>
        <v>46335</v>
      </c>
      <c r="AW6" s="114"/>
      <c r="AX6" s="114"/>
      <c r="AY6" s="114"/>
      <c r="AZ6" s="114"/>
      <c r="BA6" s="114">
        <f>AV6+7</f>
        <v>46342</v>
      </c>
      <c r="BB6" s="114"/>
      <c r="BC6" s="114"/>
      <c r="BD6" s="114"/>
      <c r="BE6" s="114"/>
      <c r="BF6" s="114">
        <f>BA6+7</f>
        <v>46349</v>
      </c>
      <c r="BG6" s="114"/>
      <c r="BH6" s="114"/>
      <c r="BI6" s="114"/>
      <c r="BJ6" s="114"/>
      <c r="BK6" s="114">
        <f>BF6+7</f>
        <v>46356</v>
      </c>
      <c r="BL6" s="114"/>
      <c r="BM6" s="114"/>
      <c r="BN6" s="114"/>
      <c r="BO6" s="114"/>
      <c r="BP6" s="114">
        <f>BK6+7</f>
        <v>46363</v>
      </c>
      <c r="BQ6" s="114"/>
      <c r="BR6" s="114"/>
      <c r="BS6" s="114"/>
      <c r="BT6" s="114"/>
      <c r="BU6" s="114">
        <f>BP6+7</f>
        <v>46370</v>
      </c>
      <c r="BV6" s="114"/>
      <c r="BW6" s="114"/>
      <c r="BX6" s="114"/>
      <c r="BY6" s="114"/>
      <c r="BZ6" s="114">
        <f>BU6+7</f>
        <v>46377</v>
      </c>
      <c r="CA6" s="114"/>
      <c r="CB6" s="114"/>
      <c r="CC6" s="114"/>
      <c r="CD6" s="114"/>
      <c r="CE6" s="114">
        <f>BZ6+7</f>
        <v>46384</v>
      </c>
      <c r="CF6" s="114"/>
      <c r="CG6" s="114"/>
      <c r="CH6" s="114"/>
      <c r="CI6" s="114"/>
      <c r="CJ6" s="114">
        <f>CE6+7</f>
        <v>46391</v>
      </c>
      <c r="CK6" s="114"/>
      <c r="CL6" s="114"/>
      <c r="CM6" s="114"/>
      <c r="CN6" s="114"/>
    </row>
    <row r="7" spans="1:92" ht="18.75" x14ac:dyDescent="0.45">
      <c r="A7" s="61"/>
      <c r="B7" s="61"/>
      <c r="C7" s="62"/>
      <c r="D7" s="123" t="s">
        <v>8</v>
      </c>
      <c r="E7" s="124"/>
      <c r="F7" s="125" t="s">
        <v>9</v>
      </c>
      <c r="G7" s="124"/>
      <c r="H7" s="63">
        <f>E1-WEEKDAY(E1,1)+2</f>
        <v>46279</v>
      </c>
      <c r="I7" s="63">
        <f>H7+1</f>
        <v>46280</v>
      </c>
      <c r="J7" s="63">
        <f t="shared" ref="J7:L7" si="0">I7+1</f>
        <v>46281</v>
      </c>
      <c r="K7" s="63">
        <f t="shared" si="0"/>
        <v>46282</v>
      </c>
      <c r="L7" s="63">
        <f t="shared" si="0"/>
        <v>46283</v>
      </c>
      <c r="M7" s="63">
        <f>M6</f>
        <v>46286</v>
      </c>
      <c r="N7" s="63">
        <f>M7+1</f>
        <v>46287</v>
      </c>
      <c r="O7" s="63">
        <f t="shared" ref="O7:Q7" si="1">N7+1</f>
        <v>46288</v>
      </c>
      <c r="P7" s="63">
        <f t="shared" si="1"/>
        <v>46289</v>
      </c>
      <c r="Q7" s="63">
        <f t="shared" si="1"/>
        <v>46290</v>
      </c>
      <c r="R7" s="63">
        <f>R6</f>
        <v>46293</v>
      </c>
      <c r="S7" s="63">
        <f>R7+1</f>
        <v>46294</v>
      </c>
      <c r="T7" s="63">
        <f t="shared" ref="T7:V7" si="2">S7+1</f>
        <v>46295</v>
      </c>
      <c r="U7" s="63">
        <f t="shared" si="2"/>
        <v>46296</v>
      </c>
      <c r="V7" s="63">
        <f t="shared" si="2"/>
        <v>46297</v>
      </c>
      <c r="W7" s="84">
        <f>W6</f>
        <v>46300</v>
      </c>
      <c r="X7" s="63">
        <f>W7+1</f>
        <v>46301</v>
      </c>
      <c r="Y7" s="63">
        <f t="shared" ref="Y7:AA7" si="3">X7+1</f>
        <v>46302</v>
      </c>
      <c r="Z7" s="63">
        <f t="shared" si="3"/>
        <v>46303</v>
      </c>
      <c r="AA7" s="84">
        <f t="shared" si="3"/>
        <v>46304</v>
      </c>
      <c r="AB7" s="84">
        <f>AB6</f>
        <v>46307</v>
      </c>
      <c r="AC7" s="63">
        <f>AB7+1</f>
        <v>46308</v>
      </c>
      <c r="AD7" s="63">
        <f t="shared" ref="AD7:AF7" si="4">AC7+1</f>
        <v>46309</v>
      </c>
      <c r="AE7" s="63">
        <f t="shared" si="4"/>
        <v>46310</v>
      </c>
      <c r="AF7" s="63">
        <f t="shared" si="4"/>
        <v>46311</v>
      </c>
      <c r="AG7" s="63">
        <f>AG6</f>
        <v>46314</v>
      </c>
      <c r="AH7" s="63">
        <f>AG7+1</f>
        <v>46315</v>
      </c>
      <c r="AI7" s="63">
        <f t="shared" ref="AI7:AK7" si="5">AH7+1</f>
        <v>46316</v>
      </c>
      <c r="AJ7" s="63">
        <f t="shared" si="5"/>
        <v>46317</v>
      </c>
      <c r="AK7" s="63">
        <f t="shared" si="5"/>
        <v>46318</v>
      </c>
      <c r="AL7" s="63">
        <f>AL6</f>
        <v>46321</v>
      </c>
      <c r="AM7" s="63">
        <f>AL7+1</f>
        <v>46322</v>
      </c>
      <c r="AN7" s="63">
        <f t="shared" ref="AN7:AP7" si="6">AM7+1</f>
        <v>46323</v>
      </c>
      <c r="AO7" s="63">
        <f t="shared" si="6"/>
        <v>46324</v>
      </c>
      <c r="AP7" s="63">
        <f t="shared" si="6"/>
        <v>46325</v>
      </c>
      <c r="AQ7" s="63">
        <f>AQ6</f>
        <v>46328</v>
      </c>
      <c r="AR7" s="63">
        <f>AQ7+1</f>
        <v>46329</v>
      </c>
      <c r="AS7" s="63">
        <f t="shared" ref="AS7:AU7" si="7">AR7+1</f>
        <v>46330</v>
      </c>
      <c r="AT7" s="63">
        <f t="shared" si="7"/>
        <v>46331</v>
      </c>
      <c r="AU7" s="63">
        <f t="shared" si="7"/>
        <v>46332</v>
      </c>
      <c r="AV7" s="63">
        <f>AV6</f>
        <v>46335</v>
      </c>
      <c r="AW7" s="63">
        <f>AV7+1</f>
        <v>46336</v>
      </c>
      <c r="AX7" s="63">
        <f t="shared" ref="AX7:AZ7" si="8">AW7+1</f>
        <v>46337</v>
      </c>
      <c r="AY7" s="63">
        <f t="shared" si="8"/>
        <v>46338</v>
      </c>
      <c r="AZ7" s="63">
        <f t="shared" si="8"/>
        <v>46339</v>
      </c>
      <c r="BA7" s="63">
        <f>BA6</f>
        <v>46342</v>
      </c>
      <c r="BB7" s="63">
        <f>BA7+1</f>
        <v>46343</v>
      </c>
      <c r="BC7" s="63">
        <f t="shared" ref="BC7:BE7" si="9">BB7+1</f>
        <v>46344</v>
      </c>
      <c r="BD7" s="63">
        <f t="shared" si="9"/>
        <v>46345</v>
      </c>
      <c r="BE7" s="63">
        <f t="shared" si="9"/>
        <v>46346</v>
      </c>
      <c r="BF7" s="63">
        <f>BF6</f>
        <v>46349</v>
      </c>
      <c r="BG7" s="63">
        <f>BF7+1</f>
        <v>46350</v>
      </c>
      <c r="BH7" s="63">
        <f t="shared" ref="BH7:BJ7" si="10">BG7+1</f>
        <v>46351</v>
      </c>
      <c r="BI7" s="63">
        <f t="shared" si="10"/>
        <v>46352</v>
      </c>
      <c r="BJ7" s="63">
        <f t="shared" si="10"/>
        <v>46353</v>
      </c>
      <c r="BK7" s="63">
        <f>BK6</f>
        <v>46356</v>
      </c>
      <c r="BL7" s="63">
        <f>BK7+1</f>
        <v>46357</v>
      </c>
      <c r="BM7" s="63">
        <f t="shared" ref="BM7:BO7" si="11">BL7+1</f>
        <v>46358</v>
      </c>
      <c r="BN7" s="63">
        <f t="shared" si="11"/>
        <v>46359</v>
      </c>
      <c r="BO7" s="63">
        <f t="shared" si="11"/>
        <v>46360</v>
      </c>
      <c r="BP7" s="63">
        <f>BP6</f>
        <v>46363</v>
      </c>
      <c r="BQ7" s="63">
        <f>BP7+1</f>
        <v>46364</v>
      </c>
      <c r="BR7" s="63">
        <f t="shared" ref="BR7:BT7" si="12">BQ7+1</f>
        <v>46365</v>
      </c>
      <c r="BS7" s="63">
        <f t="shared" si="12"/>
        <v>46366</v>
      </c>
      <c r="BT7" s="63">
        <f t="shared" si="12"/>
        <v>46367</v>
      </c>
      <c r="BU7" s="63">
        <f>BU6</f>
        <v>46370</v>
      </c>
      <c r="BV7" s="63">
        <f>BU7+1</f>
        <v>46371</v>
      </c>
      <c r="BW7" s="63">
        <f t="shared" ref="BW7:BY7" si="13">BV7+1</f>
        <v>46372</v>
      </c>
      <c r="BX7" s="63">
        <f t="shared" si="13"/>
        <v>46373</v>
      </c>
      <c r="BY7" s="63">
        <f t="shared" si="13"/>
        <v>46374</v>
      </c>
      <c r="BZ7" s="84">
        <f>BZ6</f>
        <v>46377</v>
      </c>
      <c r="CA7" s="63">
        <f>BZ7+1</f>
        <v>46378</v>
      </c>
      <c r="CB7" s="63">
        <f t="shared" ref="CB7:CD7" si="14">CA7+1</f>
        <v>46379</v>
      </c>
      <c r="CC7" s="63">
        <f t="shared" si="14"/>
        <v>46380</v>
      </c>
      <c r="CD7" s="63">
        <f t="shared" si="14"/>
        <v>46381</v>
      </c>
      <c r="CE7" s="63">
        <f>CE6</f>
        <v>46384</v>
      </c>
      <c r="CF7" s="63">
        <f>CE7+1</f>
        <v>46385</v>
      </c>
      <c r="CG7" s="63">
        <f t="shared" ref="CG7:CI7" si="15">CF7+1</f>
        <v>46386</v>
      </c>
      <c r="CH7" s="63">
        <f t="shared" si="15"/>
        <v>46387</v>
      </c>
      <c r="CI7" s="63">
        <f t="shared" si="15"/>
        <v>46388</v>
      </c>
      <c r="CJ7" s="63">
        <f>CJ6</f>
        <v>46391</v>
      </c>
      <c r="CK7" s="63">
        <f>CJ7+1</f>
        <v>46392</v>
      </c>
      <c r="CL7" s="63">
        <f t="shared" ref="CL7:CN7" si="16">CK7+1</f>
        <v>46393</v>
      </c>
      <c r="CM7" s="63">
        <f t="shared" si="16"/>
        <v>46394</v>
      </c>
      <c r="CN7" s="63">
        <f t="shared" si="16"/>
        <v>46395</v>
      </c>
    </row>
    <row r="8" spans="1:92" ht="18" x14ac:dyDescent="0.4">
      <c r="A8" s="64" t="s">
        <v>10</v>
      </c>
      <c r="B8" s="64" t="s">
        <v>11</v>
      </c>
      <c r="C8" s="64" t="s">
        <v>12</v>
      </c>
      <c r="D8" s="64" t="s">
        <v>13</v>
      </c>
      <c r="E8" s="64" t="s">
        <v>14</v>
      </c>
      <c r="F8" s="64" t="s">
        <v>13</v>
      </c>
      <c r="G8" s="64" t="s">
        <v>14</v>
      </c>
      <c r="H8" s="64" t="s">
        <v>15</v>
      </c>
      <c r="I8" s="64" t="s">
        <v>16</v>
      </c>
      <c r="J8" s="64" t="s">
        <v>17</v>
      </c>
      <c r="K8" s="64" t="s">
        <v>18</v>
      </c>
      <c r="L8" s="64" t="s">
        <v>19</v>
      </c>
      <c r="M8" s="64" t="s">
        <v>15</v>
      </c>
      <c r="N8" s="64" t="s">
        <v>16</v>
      </c>
      <c r="O8" s="64" t="s">
        <v>17</v>
      </c>
      <c r="P8" s="64" t="s">
        <v>18</v>
      </c>
      <c r="Q8" s="64" t="s">
        <v>19</v>
      </c>
      <c r="R8" s="64" t="s">
        <v>15</v>
      </c>
      <c r="S8" s="64" t="s">
        <v>16</v>
      </c>
      <c r="T8" s="64" t="s">
        <v>17</v>
      </c>
      <c r="U8" s="64" t="s">
        <v>18</v>
      </c>
      <c r="V8" s="64" t="s">
        <v>19</v>
      </c>
      <c r="W8" s="64" t="s">
        <v>15</v>
      </c>
      <c r="X8" s="64" t="s">
        <v>16</v>
      </c>
      <c r="Y8" s="64" t="s">
        <v>17</v>
      </c>
      <c r="Z8" s="64" t="s">
        <v>18</v>
      </c>
      <c r="AA8" s="64" t="s">
        <v>19</v>
      </c>
      <c r="AB8" s="64" t="s">
        <v>15</v>
      </c>
      <c r="AC8" s="64" t="s">
        <v>16</v>
      </c>
      <c r="AD8" s="64" t="s">
        <v>17</v>
      </c>
      <c r="AE8" s="64" t="s">
        <v>18</v>
      </c>
      <c r="AF8" s="64" t="s">
        <v>19</v>
      </c>
      <c r="AG8" s="64" t="s">
        <v>15</v>
      </c>
      <c r="AH8" s="64" t="s">
        <v>16</v>
      </c>
      <c r="AI8" s="64" t="s">
        <v>17</v>
      </c>
      <c r="AJ8" s="64" t="s">
        <v>18</v>
      </c>
      <c r="AK8" s="64" t="s">
        <v>19</v>
      </c>
      <c r="AL8" s="64" t="s">
        <v>15</v>
      </c>
      <c r="AM8" s="64" t="s">
        <v>16</v>
      </c>
      <c r="AN8" s="64" t="s">
        <v>17</v>
      </c>
      <c r="AO8" s="64" t="s">
        <v>18</v>
      </c>
      <c r="AP8" s="64" t="s">
        <v>19</v>
      </c>
      <c r="AQ8" s="64" t="s">
        <v>15</v>
      </c>
      <c r="AR8" s="64" t="s">
        <v>16</v>
      </c>
      <c r="AS8" s="64" t="s">
        <v>17</v>
      </c>
      <c r="AT8" s="64" t="s">
        <v>18</v>
      </c>
      <c r="AU8" s="64" t="s">
        <v>19</v>
      </c>
      <c r="AV8" s="64" t="s">
        <v>15</v>
      </c>
      <c r="AW8" s="64" t="s">
        <v>16</v>
      </c>
      <c r="AX8" s="64" t="s">
        <v>17</v>
      </c>
      <c r="AY8" s="64" t="s">
        <v>18</v>
      </c>
      <c r="AZ8" s="64" t="s">
        <v>19</v>
      </c>
      <c r="BA8" s="64" t="s">
        <v>15</v>
      </c>
      <c r="BB8" s="64" t="s">
        <v>16</v>
      </c>
      <c r="BC8" s="64" t="s">
        <v>17</v>
      </c>
      <c r="BD8" s="64" t="s">
        <v>18</v>
      </c>
      <c r="BE8" s="64" t="s">
        <v>19</v>
      </c>
      <c r="BF8" s="64" t="s">
        <v>15</v>
      </c>
      <c r="BG8" s="64" t="s">
        <v>16</v>
      </c>
      <c r="BH8" s="64" t="s">
        <v>17</v>
      </c>
      <c r="BI8" s="64" t="s">
        <v>18</v>
      </c>
      <c r="BJ8" s="64" t="s">
        <v>19</v>
      </c>
      <c r="BK8" s="64" t="s">
        <v>15</v>
      </c>
      <c r="BL8" s="64" t="s">
        <v>16</v>
      </c>
      <c r="BM8" s="64" t="s">
        <v>17</v>
      </c>
      <c r="BN8" s="64" t="s">
        <v>18</v>
      </c>
      <c r="BO8" s="64" t="s">
        <v>19</v>
      </c>
      <c r="BP8" s="64" t="s">
        <v>15</v>
      </c>
      <c r="BQ8" s="64" t="s">
        <v>16</v>
      </c>
      <c r="BR8" s="64" t="s">
        <v>17</v>
      </c>
      <c r="BS8" s="64" t="s">
        <v>18</v>
      </c>
      <c r="BT8" s="64" t="s">
        <v>19</v>
      </c>
      <c r="BU8" s="64" t="s">
        <v>15</v>
      </c>
      <c r="BV8" s="64" t="s">
        <v>16</v>
      </c>
      <c r="BW8" s="64" t="s">
        <v>17</v>
      </c>
      <c r="BX8" s="64" t="s">
        <v>18</v>
      </c>
      <c r="BY8" s="64" t="s">
        <v>19</v>
      </c>
      <c r="BZ8" s="64" t="s">
        <v>15</v>
      </c>
      <c r="CA8" s="64" t="s">
        <v>16</v>
      </c>
      <c r="CB8" s="64" t="s">
        <v>17</v>
      </c>
      <c r="CC8" s="64" t="s">
        <v>18</v>
      </c>
      <c r="CD8" s="64" t="s">
        <v>19</v>
      </c>
      <c r="CE8" s="64" t="s">
        <v>15</v>
      </c>
      <c r="CF8" s="64" t="s">
        <v>16</v>
      </c>
      <c r="CG8" s="64" t="s">
        <v>17</v>
      </c>
      <c r="CH8" s="64" t="s">
        <v>18</v>
      </c>
      <c r="CI8" s="64" t="s">
        <v>19</v>
      </c>
      <c r="CJ8" s="64" t="s">
        <v>15</v>
      </c>
      <c r="CK8" s="64" t="s">
        <v>16</v>
      </c>
      <c r="CL8" s="64" t="s">
        <v>17</v>
      </c>
      <c r="CM8" s="64" t="s">
        <v>18</v>
      </c>
      <c r="CN8" s="64" t="s">
        <v>19</v>
      </c>
    </row>
    <row r="9" spans="1:92" ht="18.75" x14ac:dyDescent="0.45">
      <c r="A9" s="3" t="s">
        <v>64</v>
      </c>
      <c r="B9" s="4"/>
      <c r="C9" s="5"/>
      <c r="D9" s="6"/>
      <c r="E9" s="6"/>
      <c r="F9" s="6"/>
      <c r="G9" s="6"/>
      <c r="H9" s="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9"/>
    </row>
    <row r="10" spans="1:92" ht="18.75" x14ac:dyDescent="0.45">
      <c r="A10" s="99" t="s">
        <v>65</v>
      </c>
      <c r="B10" s="10"/>
      <c r="C10" s="105">
        <v>1</v>
      </c>
      <c r="D10" s="12">
        <v>46287</v>
      </c>
      <c r="E10" s="12">
        <v>46290</v>
      </c>
      <c r="F10" s="12">
        <v>46287</v>
      </c>
      <c r="G10" s="12">
        <v>46290</v>
      </c>
      <c r="H10" s="1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5"/>
    </row>
    <row r="11" spans="1:92" ht="18.75" x14ac:dyDescent="0.45">
      <c r="A11" s="99" t="s">
        <v>66</v>
      </c>
      <c r="B11" s="10"/>
      <c r="C11" s="105">
        <v>0.2</v>
      </c>
      <c r="D11" s="12">
        <v>46306</v>
      </c>
      <c r="E11" s="12">
        <v>46315</v>
      </c>
      <c r="F11" s="12">
        <v>46306</v>
      </c>
      <c r="G11" s="12"/>
      <c r="H11" s="13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5"/>
    </row>
    <row r="12" spans="1:92" ht="18.75" x14ac:dyDescent="0.45">
      <c r="A12" s="99" t="s">
        <v>67</v>
      </c>
      <c r="B12" s="10"/>
      <c r="C12" s="105">
        <v>0.3</v>
      </c>
      <c r="D12" s="12">
        <v>46306</v>
      </c>
      <c r="E12" s="12">
        <v>46315</v>
      </c>
      <c r="F12" s="12">
        <v>46306</v>
      </c>
      <c r="G12" s="12"/>
      <c r="H12" s="13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/>
      <c r="BG12" s="14"/>
      <c r="BH12" s="14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5"/>
    </row>
    <row r="13" spans="1:92" ht="18.75" x14ac:dyDescent="0.45">
      <c r="A13" s="99" t="s">
        <v>68</v>
      </c>
      <c r="B13" s="10"/>
      <c r="C13" s="105">
        <v>1</v>
      </c>
      <c r="D13" s="12">
        <v>46296</v>
      </c>
      <c r="E13" s="12">
        <v>46305</v>
      </c>
      <c r="F13" s="12">
        <v>46296</v>
      </c>
      <c r="G13" s="12">
        <v>46300</v>
      </c>
      <c r="H13" s="13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/>
      <c r="BG13" s="14"/>
      <c r="BH13" s="14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5"/>
    </row>
    <row r="14" spans="1:92" ht="18.75" x14ac:dyDescent="0.45">
      <c r="A14" s="99" t="s">
        <v>69</v>
      </c>
      <c r="B14" s="10"/>
      <c r="C14" s="105">
        <v>0.5</v>
      </c>
      <c r="D14" s="12">
        <v>46306</v>
      </c>
      <c r="E14" s="12">
        <v>46315</v>
      </c>
      <c r="F14" s="12">
        <v>46306</v>
      </c>
      <c r="G14" s="12"/>
      <c r="H14" s="13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5"/>
    </row>
    <row r="15" spans="1:92" ht="18.75" x14ac:dyDescent="0.45">
      <c r="A15" s="99" t="s">
        <v>70</v>
      </c>
      <c r="B15" s="10"/>
      <c r="C15" s="105">
        <v>1</v>
      </c>
      <c r="D15" s="12">
        <v>46300</v>
      </c>
      <c r="E15" s="12">
        <v>46304</v>
      </c>
      <c r="F15" s="12">
        <v>46300</v>
      </c>
      <c r="G15" s="12">
        <v>46304</v>
      </c>
      <c r="H15" s="13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/>
      <c r="BG15" s="14"/>
      <c r="BH15" s="14"/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5"/>
    </row>
    <row r="16" spans="1:92" ht="18.75" x14ac:dyDescent="0.45">
      <c r="A16" s="99" t="s">
        <v>71</v>
      </c>
      <c r="B16" s="10"/>
      <c r="C16" s="105">
        <v>1</v>
      </c>
      <c r="D16" s="12">
        <v>46291</v>
      </c>
      <c r="E16" s="12">
        <v>46293</v>
      </c>
      <c r="F16" s="12">
        <v>46291</v>
      </c>
      <c r="G16" s="12">
        <v>46293</v>
      </c>
      <c r="H16" s="13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/>
      <c r="BG16" s="14"/>
      <c r="BH16" s="14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5"/>
    </row>
    <row r="17" spans="1:92" ht="18.75" x14ac:dyDescent="0.45">
      <c r="A17" s="99" t="s">
        <v>94</v>
      </c>
      <c r="B17" s="10"/>
      <c r="C17" s="105"/>
      <c r="D17" s="12"/>
      <c r="E17" s="12"/>
      <c r="F17" s="12"/>
      <c r="G17" s="12"/>
      <c r="H17" s="13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5"/>
    </row>
    <row r="18" spans="1:92" ht="18.75" x14ac:dyDescent="0.45">
      <c r="A18" s="99"/>
      <c r="B18" s="10"/>
      <c r="C18" s="105"/>
      <c r="D18" s="12"/>
      <c r="E18" s="12"/>
      <c r="F18" s="12"/>
      <c r="G18" s="12"/>
      <c r="H18" s="13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/>
      <c r="BG18" s="14"/>
      <c r="BH18" s="14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5"/>
    </row>
    <row r="19" spans="1:92" ht="18.75" x14ac:dyDescent="0.45">
      <c r="A19" s="16" t="s">
        <v>72</v>
      </c>
      <c r="B19" s="17"/>
      <c r="C19" s="18"/>
      <c r="D19" s="19"/>
      <c r="E19" s="19"/>
      <c r="F19" s="19"/>
      <c r="G19" s="19"/>
      <c r="H19" s="20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  <c r="BP19" s="21"/>
      <c r="BQ19" s="21"/>
      <c r="BR19" s="21"/>
      <c r="BS19" s="21"/>
      <c r="BT19" s="21"/>
      <c r="BU19" s="21"/>
      <c r="BV19" s="21"/>
      <c r="BW19" s="21"/>
      <c r="BX19" s="21"/>
      <c r="BY19" s="21"/>
      <c r="BZ19" s="21"/>
      <c r="CA19" s="21"/>
      <c r="CB19" s="21"/>
      <c r="CC19" s="21"/>
      <c r="CD19" s="21"/>
      <c r="CE19" s="21"/>
      <c r="CF19" s="21"/>
      <c r="CG19" s="21"/>
      <c r="CH19" s="21"/>
      <c r="CI19" s="21"/>
      <c r="CJ19" s="21"/>
      <c r="CK19" s="21"/>
      <c r="CL19" s="21"/>
      <c r="CM19" s="21"/>
      <c r="CN19" s="22"/>
    </row>
    <row r="20" spans="1:92" ht="18.75" x14ac:dyDescent="0.45">
      <c r="A20" s="113" t="s">
        <v>77</v>
      </c>
      <c r="B20" s="23"/>
      <c r="C20" s="106">
        <v>1</v>
      </c>
      <c r="D20" s="25">
        <v>46281</v>
      </c>
      <c r="E20" s="25">
        <v>46283</v>
      </c>
      <c r="F20" s="25">
        <v>46281</v>
      </c>
      <c r="G20" s="25">
        <v>46283</v>
      </c>
      <c r="H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8"/>
    </row>
    <row r="21" spans="1:92" ht="18.75" x14ac:dyDescent="0.45">
      <c r="A21" s="100" t="s">
        <v>80</v>
      </c>
      <c r="B21" s="23"/>
      <c r="C21" s="106">
        <v>0</v>
      </c>
      <c r="D21" s="25">
        <v>46318</v>
      </c>
      <c r="E21" s="25">
        <v>46320</v>
      </c>
      <c r="F21" s="25">
        <v>46316</v>
      </c>
      <c r="G21" s="25">
        <v>46316</v>
      </c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  <c r="BG21" s="27"/>
      <c r="BH21" s="27"/>
      <c r="BI21" s="27"/>
      <c r="BJ21" s="27"/>
      <c r="BK21" s="27"/>
      <c r="BL21" s="27"/>
      <c r="BM21" s="27"/>
      <c r="BN21" s="27"/>
      <c r="BO21" s="27"/>
      <c r="BP21" s="27"/>
      <c r="BQ21" s="27"/>
      <c r="BR21" s="27"/>
      <c r="BS21" s="27"/>
      <c r="BT21" s="27"/>
      <c r="BU21" s="27"/>
      <c r="BV21" s="27"/>
      <c r="BW21" s="27"/>
      <c r="BX21" s="27"/>
      <c r="BY21" s="27"/>
      <c r="BZ21" s="27"/>
      <c r="CA21" s="27"/>
      <c r="CB21" s="27"/>
      <c r="CC21" s="27"/>
      <c r="CD21" s="27"/>
      <c r="CE21" s="27"/>
      <c r="CF21" s="27"/>
      <c r="CG21" s="27"/>
      <c r="CH21" s="27"/>
      <c r="CI21" s="27"/>
      <c r="CJ21" s="27"/>
      <c r="CK21" s="27"/>
      <c r="CL21" s="27"/>
      <c r="CM21" s="27"/>
      <c r="CN21" s="28"/>
    </row>
    <row r="22" spans="1:92" ht="18.75" x14ac:dyDescent="0.45">
      <c r="A22" s="113" t="s">
        <v>78</v>
      </c>
      <c r="B22" s="23"/>
      <c r="C22" s="106">
        <v>0.05</v>
      </c>
      <c r="D22" s="25">
        <v>46281</v>
      </c>
      <c r="E22" s="25">
        <v>46346</v>
      </c>
      <c r="F22" s="25">
        <v>46281</v>
      </c>
      <c r="G22" s="25"/>
      <c r="H22" s="26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  <c r="BG22" s="27"/>
      <c r="BH22" s="27"/>
      <c r="BI22" s="27"/>
      <c r="BJ22" s="27"/>
      <c r="BK22" s="27"/>
      <c r="BL22" s="27"/>
      <c r="BM22" s="27"/>
      <c r="BN22" s="27"/>
      <c r="BO22" s="27"/>
      <c r="BP22" s="27"/>
      <c r="BQ22" s="27"/>
      <c r="BR22" s="27"/>
      <c r="BS22" s="27"/>
      <c r="BT22" s="27"/>
      <c r="BU22" s="27"/>
      <c r="BV22" s="27"/>
      <c r="BW22" s="27"/>
      <c r="BX22" s="27"/>
      <c r="BY22" s="27"/>
      <c r="BZ22" s="27"/>
      <c r="CA22" s="27"/>
      <c r="CB22" s="27"/>
      <c r="CC22" s="27"/>
      <c r="CD22" s="27"/>
      <c r="CE22" s="27"/>
      <c r="CF22" s="27"/>
      <c r="CG22" s="27"/>
      <c r="CH22" s="27"/>
      <c r="CI22" s="27"/>
      <c r="CJ22" s="27"/>
      <c r="CK22" s="27"/>
      <c r="CL22" s="27"/>
      <c r="CM22" s="27"/>
      <c r="CN22" s="28"/>
    </row>
    <row r="23" spans="1:92" ht="18.75" x14ac:dyDescent="0.45">
      <c r="A23" s="100" t="s">
        <v>81</v>
      </c>
      <c r="B23" s="23"/>
      <c r="C23" s="106">
        <v>0.05</v>
      </c>
      <c r="D23" s="25">
        <v>46281</v>
      </c>
      <c r="E23" s="25">
        <v>46346</v>
      </c>
      <c r="F23" s="25">
        <v>46281</v>
      </c>
      <c r="G23" s="25"/>
      <c r="H23" s="26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  <c r="BG23" s="27"/>
      <c r="BH23" s="27"/>
      <c r="BI23" s="27"/>
      <c r="BJ23" s="27"/>
      <c r="BK23" s="27"/>
      <c r="BL23" s="27"/>
      <c r="BM23" s="27"/>
      <c r="BN23" s="27"/>
      <c r="BO23" s="27"/>
      <c r="BP23" s="27"/>
      <c r="BQ23" s="27"/>
      <c r="BR23" s="27"/>
      <c r="BS23" s="27"/>
      <c r="BT23" s="27"/>
      <c r="BU23" s="27"/>
      <c r="BV23" s="27"/>
      <c r="BW23" s="27"/>
      <c r="BX23" s="27"/>
      <c r="BY23" s="27"/>
      <c r="BZ23" s="27"/>
      <c r="CA23" s="27"/>
      <c r="CB23" s="27"/>
      <c r="CC23" s="27"/>
      <c r="CD23" s="27"/>
      <c r="CE23" s="27"/>
      <c r="CF23" s="27"/>
      <c r="CG23" s="27"/>
      <c r="CH23" s="27"/>
      <c r="CI23" s="27"/>
      <c r="CJ23" s="27"/>
      <c r="CK23" s="27"/>
      <c r="CL23" s="27"/>
      <c r="CM23" s="27"/>
      <c r="CN23" s="28"/>
    </row>
    <row r="24" spans="1:92" ht="18.75" x14ac:dyDescent="0.45">
      <c r="A24" s="100" t="s">
        <v>82</v>
      </c>
      <c r="B24" s="23"/>
      <c r="C24" s="106">
        <v>0.05</v>
      </c>
      <c r="D24" s="25">
        <v>46281</v>
      </c>
      <c r="E24" s="25">
        <v>46346</v>
      </c>
      <c r="F24" s="25">
        <v>46281</v>
      </c>
      <c r="G24" s="25"/>
      <c r="H24" s="26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  <c r="BG24" s="27"/>
      <c r="BH24" s="27"/>
      <c r="BI24" s="27"/>
      <c r="BJ24" s="27"/>
      <c r="BK24" s="27"/>
      <c r="BL24" s="27"/>
      <c r="BM24" s="27"/>
      <c r="BN24" s="27"/>
      <c r="BO24" s="27"/>
      <c r="BP24" s="27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  <c r="CE24" s="27"/>
      <c r="CF24" s="27"/>
      <c r="CG24" s="27"/>
      <c r="CH24" s="27"/>
      <c r="CI24" s="27"/>
      <c r="CJ24" s="27"/>
      <c r="CK24" s="27"/>
      <c r="CL24" s="27"/>
      <c r="CM24" s="27"/>
      <c r="CN24" s="28"/>
    </row>
    <row r="25" spans="1:92" ht="18.75" x14ac:dyDescent="0.45">
      <c r="A25" s="113" t="s">
        <v>79</v>
      </c>
      <c r="B25" s="23"/>
      <c r="C25" s="106">
        <v>0.5</v>
      </c>
      <c r="D25" s="25">
        <v>46284</v>
      </c>
      <c r="E25" s="25">
        <v>46317</v>
      </c>
      <c r="F25" s="25">
        <v>46284</v>
      </c>
      <c r="G25" s="25"/>
      <c r="H25" s="26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  <c r="BG25" s="27"/>
      <c r="BH25" s="27"/>
      <c r="BI25" s="27"/>
      <c r="BJ25" s="27"/>
      <c r="BK25" s="27"/>
      <c r="BL25" s="27"/>
      <c r="BM25" s="27"/>
      <c r="BN25" s="27"/>
      <c r="BO25" s="27"/>
      <c r="BP25" s="27"/>
      <c r="BQ25" s="27"/>
      <c r="BR25" s="27"/>
      <c r="BS25" s="27"/>
      <c r="BT25" s="27"/>
      <c r="BU25" s="27"/>
      <c r="BV25" s="27"/>
      <c r="BW25" s="27"/>
      <c r="BX25" s="27"/>
      <c r="BY25" s="27"/>
      <c r="BZ25" s="27"/>
      <c r="CA25" s="27"/>
      <c r="CB25" s="27"/>
      <c r="CC25" s="27"/>
      <c r="CD25" s="27"/>
      <c r="CE25" s="27"/>
      <c r="CF25" s="27"/>
      <c r="CG25" s="27"/>
      <c r="CH25" s="27"/>
      <c r="CI25" s="27"/>
      <c r="CJ25" s="27"/>
      <c r="CK25" s="27"/>
      <c r="CL25" s="27"/>
      <c r="CM25" s="27"/>
      <c r="CN25" s="28"/>
    </row>
    <row r="26" spans="1:92" ht="18.75" x14ac:dyDescent="0.45">
      <c r="A26" s="100" t="s">
        <v>83</v>
      </c>
      <c r="B26" s="23"/>
      <c r="C26" s="106">
        <v>1</v>
      </c>
      <c r="D26" s="25">
        <v>46284</v>
      </c>
      <c r="E26" s="25">
        <v>46286</v>
      </c>
      <c r="F26" s="25">
        <v>46284</v>
      </c>
      <c r="G26" s="25">
        <v>46286</v>
      </c>
      <c r="H26" s="26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  <c r="BG26" s="27"/>
      <c r="BH26" s="27"/>
      <c r="BI26" s="27"/>
      <c r="BJ26" s="27"/>
      <c r="BK26" s="27"/>
      <c r="BL26" s="27"/>
      <c r="BM26" s="27"/>
      <c r="BN26" s="27"/>
      <c r="BO26" s="27"/>
      <c r="BP26" s="27"/>
      <c r="BQ26" s="27"/>
      <c r="BR26" s="27"/>
      <c r="BS26" s="27"/>
      <c r="BT26" s="27"/>
      <c r="BU26" s="27"/>
      <c r="BV26" s="27"/>
      <c r="BW26" s="27"/>
      <c r="BX26" s="27"/>
      <c r="BY26" s="27"/>
      <c r="BZ26" s="27"/>
      <c r="CA26" s="27"/>
      <c r="CB26" s="27"/>
      <c r="CC26" s="27"/>
      <c r="CD26" s="27"/>
      <c r="CE26" s="27"/>
      <c r="CF26" s="27"/>
      <c r="CG26" s="27"/>
      <c r="CH26" s="27"/>
      <c r="CI26" s="27"/>
      <c r="CJ26" s="27"/>
      <c r="CK26" s="27"/>
      <c r="CL26" s="27"/>
      <c r="CM26" s="27"/>
      <c r="CN26" s="28"/>
    </row>
    <row r="27" spans="1:92" ht="18.75" x14ac:dyDescent="0.45">
      <c r="A27" s="100" t="s">
        <v>84</v>
      </c>
      <c r="B27" s="23"/>
      <c r="C27" s="106">
        <v>0.3</v>
      </c>
      <c r="D27" s="25">
        <v>46308</v>
      </c>
      <c r="E27" s="25">
        <v>46317</v>
      </c>
      <c r="F27" s="25">
        <v>46308</v>
      </c>
      <c r="G27" s="25"/>
      <c r="H27" s="26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  <c r="BG27" s="27"/>
      <c r="BH27" s="27"/>
      <c r="BI27" s="27"/>
      <c r="BJ27" s="27"/>
      <c r="BK27" s="27"/>
      <c r="BL27" s="27"/>
      <c r="BM27" s="27"/>
      <c r="BN27" s="27"/>
      <c r="BO27" s="27"/>
      <c r="BP27" s="27"/>
      <c r="BQ27" s="27"/>
      <c r="BR27" s="27"/>
      <c r="BS27" s="27"/>
      <c r="BT27" s="27"/>
      <c r="BU27" s="27"/>
      <c r="BV27" s="27"/>
      <c r="BW27" s="27"/>
      <c r="BX27" s="27"/>
      <c r="BY27" s="27"/>
      <c r="BZ27" s="27"/>
      <c r="CA27" s="27"/>
      <c r="CB27" s="27"/>
      <c r="CC27" s="27"/>
      <c r="CD27" s="27"/>
      <c r="CE27" s="27"/>
      <c r="CF27" s="27"/>
      <c r="CG27" s="27"/>
      <c r="CH27" s="27"/>
      <c r="CI27" s="27"/>
      <c r="CJ27" s="27"/>
      <c r="CK27" s="27"/>
      <c r="CL27" s="27"/>
      <c r="CM27" s="27"/>
      <c r="CN27" s="28"/>
    </row>
    <row r="28" spans="1:92" ht="18.75" x14ac:dyDescent="0.45">
      <c r="A28" s="100" t="s">
        <v>86</v>
      </c>
      <c r="B28" s="23"/>
      <c r="C28" s="106">
        <v>0.3</v>
      </c>
      <c r="D28" s="25">
        <v>46308</v>
      </c>
      <c r="E28" s="25">
        <v>46325</v>
      </c>
      <c r="F28" s="25">
        <v>46308</v>
      </c>
      <c r="G28" s="25"/>
      <c r="H28" s="26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7"/>
      <c r="AB28" s="27"/>
      <c r="AC28" s="27"/>
      <c r="AD28" s="27"/>
      <c r="AE28" s="27"/>
      <c r="AF28" s="27"/>
      <c r="AG28" s="27"/>
      <c r="AH28" s="27"/>
      <c r="AI28" s="27"/>
      <c r="AJ28" s="27"/>
      <c r="AK28" s="27"/>
      <c r="AL28" s="27"/>
      <c r="AM28" s="27"/>
      <c r="AN28" s="27"/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  <c r="BG28" s="27"/>
      <c r="BH28" s="27"/>
      <c r="BI28" s="27"/>
      <c r="BJ28" s="27"/>
      <c r="BK28" s="27"/>
      <c r="BL28" s="27"/>
      <c r="BM28" s="27"/>
      <c r="BN28" s="27"/>
      <c r="BO28" s="27"/>
      <c r="BP28" s="27"/>
      <c r="BQ28" s="27"/>
      <c r="BR28" s="27"/>
      <c r="BS28" s="27"/>
      <c r="BT28" s="27"/>
      <c r="BU28" s="27"/>
      <c r="BV28" s="27"/>
      <c r="BW28" s="27"/>
      <c r="BX28" s="27"/>
      <c r="BY28" s="27"/>
      <c r="BZ28" s="27"/>
      <c r="CA28" s="27"/>
      <c r="CB28" s="27"/>
      <c r="CC28" s="27"/>
      <c r="CD28" s="27"/>
      <c r="CE28" s="27"/>
      <c r="CF28" s="27"/>
      <c r="CG28" s="27"/>
      <c r="CH28" s="27"/>
      <c r="CI28" s="27"/>
      <c r="CJ28" s="27"/>
      <c r="CK28" s="27"/>
      <c r="CL28" s="27"/>
      <c r="CM28" s="27"/>
      <c r="CN28" s="28"/>
    </row>
    <row r="29" spans="1:92" ht="18.75" x14ac:dyDescent="0.45">
      <c r="A29" s="100" t="s">
        <v>85</v>
      </c>
      <c r="B29" s="23"/>
      <c r="C29" s="106">
        <v>0.3</v>
      </c>
      <c r="D29" s="25">
        <v>46308</v>
      </c>
      <c r="E29" s="25">
        <v>46325</v>
      </c>
      <c r="F29" s="25">
        <v>46308</v>
      </c>
      <c r="G29" s="25"/>
      <c r="H29" s="26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H29" s="27"/>
      <c r="AI29" s="27"/>
      <c r="AJ29" s="27"/>
      <c r="AK29" s="27"/>
      <c r="AL29" s="27"/>
      <c r="AM29" s="27"/>
      <c r="AN29" s="27"/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  <c r="BG29" s="27"/>
      <c r="BH29" s="27"/>
      <c r="BI29" s="27"/>
      <c r="BJ29" s="27"/>
      <c r="BK29" s="27"/>
      <c r="BL29" s="27"/>
      <c r="BM29" s="27"/>
      <c r="BN29" s="27"/>
      <c r="BO29" s="27"/>
      <c r="BP29" s="27"/>
      <c r="BQ29" s="27"/>
      <c r="BR29" s="27"/>
      <c r="BS29" s="27"/>
      <c r="BT29" s="27"/>
      <c r="BU29" s="27"/>
      <c r="BV29" s="27"/>
      <c r="BW29" s="27"/>
      <c r="BX29" s="27"/>
      <c r="BY29" s="27"/>
      <c r="BZ29" s="27"/>
      <c r="CA29" s="27"/>
      <c r="CB29" s="27"/>
      <c r="CC29" s="27"/>
      <c r="CD29" s="27"/>
      <c r="CE29" s="27"/>
      <c r="CF29" s="27"/>
      <c r="CG29" s="27"/>
      <c r="CH29" s="27"/>
      <c r="CI29" s="27"/>
      <c r="CJ29" s="27"/>
      <c r="CK29" s="27"/>
      <c r="CL29" s="27"/>
      <c r="CM29" s="27"/>
      <c r="CN29" s="28"/>
    </row>
    <row r="30" spans="1:92" ht="18.75" x14ac:dyDescent="0.45">
      <c r="A30" s="113" t="s">
        <v>87</v>
      </c>
      <c r="B30" s="23"/>
      <c r="C30" s="106">
        <v>0</v>
      </c>
      <c r="D30" s="25">
        <v>46325</v>
      </c>
      <c r="E30" s="25">
        <v>46346</v>
      </c>
      <c r="F30" s="25"/>
      <c r="G30" s="25"/>
      <c r="H30" s="26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8"/>
    </row>
    <row r="31" spans="1:92" ht="18.75" x14ac:dyDescent="0.45">
      <c r="A31" s="100" t="s">
        <v>88</v>
      </c>
      <c r="B31" s="23"/>
      <c r="C31" s="106">
        <v>0</v>
      </c>
      <c r="D31" s="25">
        <v>46325</v>
      </c>
      <c r="E31" s="25">
        <v>46328</v>
      </c>
      <c r="F31" s="25"/>
      <c r="G31" s="25"/>
      <c r="H31" s="26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  <c r="AH31" s="27"/>
      <c r="AI31" s="27"/>
      <c r="AJ31" s="27"/>
      <c r="AK31" s="27"/>
      <c r="AL31" s="27"/>
      <c r="AM31" s="27"/>
      <c r="AN31" s="27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  <c r="BG31" s="27"/>
      <c r="BH31" s="27"/>
      <c r="BI31" s="27"/>
      <c r="BJ31" s="27"/>
      <c r="BK31" s="27"/>
      <c r="BL31" s="27"/>
      <c r="BM31" s="27"/>
      <c r="BN31" s="27"/>
      <c r="BO31" s="27"/>
      <c r="BP31" s="27"/>
      <c r="BQ31" s="27"/>
      <c r="BR31" s="27"/>
      <c r="BS31" s="27"/>
      <c r="BT31" s="27"/>
      <c r="BU31" s="27"/>
      <c r="BV31" s="27"/>
      <c r="BW31" s="27"/>
      <c r="BX31" s="27"/>
      <c r="BY31" s="27"/>
      <c r="BZ31" s="27"/>
      <c r="CA31" s="27"/>
      <c r="CB31" s="27"/>
      <c r="CC31" s="27"/>
      <c r="CD31" s="27"/>
      <c r="CE31" s="27"/>
      <c r="CF31" s="27"/>
      <c r="CG31" s="27"/>
      <c r="CH31" s="27"/>
      <c r="CI31" s="27"/>
      <c r="CJ31" s="27"/>
      <c r="CK31" s="27"/>
      <c r="CL31" s="27"/>
      <c r="CM31" s="27"/>
      <c r="CN31" s="28"/>
    </row>
    <row r="32" spans="1:92" ht="18.75" x14ac:dyDescent="0.45">
      <c r="A32" s="100" t="s">
        <v>89</v>
      </c>
      <c r="B32" s="23"/>
      <c r="C32" s="106">
        <v>0</v>
      </c>
      <c r="D32" s="25">
        <v>46341</v>
      </c>
      <c r="E32" s="25">
        <v>46344</v>
      </c>
      <c r="F32" s="25"/>
      <c r="G32" s="25"/>
      <c r="H32" s="26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  <c r="AH32" s="27"/>
      <c r="AI32" s="27"/>
      <c r="AJ32" s="27"/>
      <c r="AK32" s="27"/>
      <c r="AL32" s="27"/>
      <c r="AM32" s="27"/>
      <c r="AN32" s="27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  <c r="BG32" s="27"/>
      <c r="BH32" s="27"/>
      <c r="BI32" s="27"/>
      <c r="BJ32" s="27"/>
      <c r="BK32" s="27"/>
      <c r="BL32" s="27"/>
      <c r="BM32" s="27"/>
      <c r="BN32" s="27"/>
      <c r="BO32" s="27"/>
      <c r="BP32" s="27"/>
      <c r="BQ32" s="27"/>
      <c r="BR32" s="27"/>
      <c r="BS32" s="27"/>
      <c r="BT32" s="27"/>
      <c r="BU32" s="27"/>
      <c r="BV32" s="27"/>
      <c r="BW32" s="27"/>
      <c r="BX32" s="27"/>
      <c r="BY32" s="27"/>
      <c r="BZ32" s="27"/>
      <c r="CA32" s="27"/>
      <c r="CB32" s="27"/>
      <c r="CC32" s="27"/>
      <c r="CD32" s="27"/>
      <c r="CE32" s="27"/>
      <c r="CF32" s="27"/>
      <c r="CG32" s="27"/>
      <c r="CH32" s="27"/>
      <c r="CI32" s="27"/>
      <c r="CJ32" s="27"/>
      <c r="CK32" s="27"/>
      <c r="CL32" s="27"/>
      <c r="CM32" s="27"/>
      <c r="CN32" s="28"/>
    </row>
    <row r="33" spans="1:92" ht="18.75" x14ac:dyDescent="0.45">
      <c r="A33" s="100" t="s">
        <v>90</v>
      </c>
      <c r="B33" s="23"/>
      <c r="C33" s="106">
        <v>0</v>
      </c>
      <c r="D33" s="25">
        <v>46344</v>
      </c>
      <c r="E33" s="25">
        <v>46346</v>
      </c>
      <c r="F33" s="25"/>
      <c r="G33" s="25"/>
      <c r="H33" s="26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  <c r="AH33" s="27"/>
      <c r="AI33" s="27"/>
      <c r="AJ33" s="27"/>
      <c r="AK33" s="27"/>
      <c r="AL33" s="27"/>
      <c r="AM33" s="27"/>
      <c r="AN33" s="27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  <c r="BG33" s="27"/>
      <c r="BH33" s="27"/>
      <c r="BI33" s="27"/>
      <c r="BJ33" s="27"/>
      <c r="BK33" s="27"/>
      <c r="BL33" s="27"/>
      <c r="BM33" s="27"/>
      <c r="BN33" s="27"/>
      <c r="BO33" s="27"/>
      <c r="BP33" s="27"/>
      <c r="BQ33" s="27"/>
      <c r="BR33" s="27"/>
      <c r="BS33" s="27"/>
      <c r="BT33" s="27"/>
      <c r="BU33" s="27"/>
      <c r="BV33" s="27"/>
      <c r="BW33" s="27"/>
      <c r="BX33" s="27"/>
      <c r="BY33" s="27"/>
      <c r="BZ33" s="27"/>
      <c r="CA33" s="27"/>
      <c r="CB33" s="27"/>
      <c r="CC33" s="27"/>
      <c r="CD33" s="27"/>
      <c r="CE33" s="27"/>
      <c r="CF33" s="27"/>
      <c r="CG33" s="27"/>
      <c r="CH33" s="27"/>
      <c r="CI33" s="27"/>
      <c r="CJ33" s="27"/>
      <c r="CK33" s="27"/>
      <c r="CL33" s="27"/>
      <c r="CM33" s="27"/>
      <c r="CN33" s="28"/>
    </row>
    <row r="34" spans="1:92" ht="18.75" x14ac:dyDescent="0.45">
      <c r="A34" s="113" t="s">
        <v>91</v>
      </c>
      <c r="B34" s="23"/>
      <c r="C34" s="106">
        <v>0</v>
      </c>
      <c r="D34" s="25">
        <v>46347</v>
      </c>
      <c r="E34" s="25">
        <v>46351</v>
      </c>
      <c r="F34" s="25"/>
      <c r="G34" s="25"/>
      <c r="H34" s="26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  <c r="AH34" s="27"/>
      <c r="AI34" s="27"/>
      <c r="AJ34" s="27"/>
      <c r="AK34" s="27"/>
      <c r="AL34" s="27"/>
      <c r="AM34" s="27"/>
      <c r="AN34" s="27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  <c r="BG34" s="27"/>
      <c r="BH34" s="27"/>
      <c r="BI34" s="27"/>
      <c r="BJ34" s="27"/>
      <c r="BK34" s="27"/>
      <c r="BL34" s="27"/>
      <c r="BM34" s="27"/>
      <c r="BN34" s="27"/>
      <c r="BO34" s="27"/>
      <c r="BP34" s="27"/>
      <c r="BQ34" s="27"/>
      <c r="BR34" s="27"/>
      <c r="BS34" s="27"/>
      <c r="BT34" s="27"/>
      <c r="BU34" s="27"/>
      <c r="BV34" s="27"/>
      <c r="BW34" s="27"/>
      <c r="BX34" s="27"/>
      <c r="BY34" s="27"/>
      <c r="BZ34" s="27"/>
      <c r="CA34" s="27"/>
      <c r="CB34" s="27"/>
      <c r="CC34" s="27"/>
      <c r="CD34" s="27"/>
      <c r="CE34" s="27"/>
      <c r="CF34" s="27"/>
      <c r="CG34" s="27"/>
      <c r="CH34" s="27"/>
      <c r="CI34" s="27"/>
      <c r="CJ34" s="27"/>
      <c r="CK34" s="27"/>
      <c r="CL34" s="27"/>
      <c r="CM34" s="27"/>
      <c r="CN34" s="28"/>
    </row>
    <row r="35" spans="1:92" ht="18.75" x14ac:dyDescent="0.45">
      <c r="A35" s="100" t="s">
        <v>92</v>
      </c>
      <c r="B35" s="23"/>
      <c r="C35" s="106">
        <v>0</v>
      </c>
      <c r="D35" s="25">
        <v>46347</v>
      </c>
      <c r="E35" s="25">
        <v>46351</v>
      </c>
      <c r="F35" s="25"/>
      <c r="G35" s="25"/>
      <c r="H35" s="26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  <c r="AH35" s="27"/>
      <c r="AI35" s="27"/>
      <c r="AJ35" s="27"/>
      <c r="AK35" s="27"/>
      <c r="AL35" s="27"/>
      <c r="AM35" s="27"/>
      <c r="AN35" s="27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  <c r="BG35" s="27"/>
      <c r="BH35" s="27"/>
      <c r="BI35" s="27"/>
      <c r="BJ35" s="27"/>
      <c r="BK35" s="27"/>
      <c r="BL35" s="27"/>
      <c r="BM35" s="27"/>
      <c r="BN35" s="27"/>
      <c r="BO35" s="27"/>
      <c r="BP35" s="27"/>
      <c r="BQ35" s="27"/>
      <c r="BR35" s="27"/>
      <c r="BS35" s="27"/>
      <c r="BT35" s="27"/>
      <c r="BU35" s="27"/>
      <c r="BV35" s="27"/>
      <c r="BW35" s="27"/>
      <c r="BX35" s="27"/>
      <c r="BY35" s="27"/>
      <c r="BZ35" s="27"/>
      <c r="CA35" s="27"/>
      <c r="CB35" s="27"/>
      <c r="CC35" s="27"/>
      <c r="CD35" s="27"/>
      <c r="CE35" s="27"/>
      <c r="CF35" s="27"/>
      <c r="CG35" s="27"/>
      <c r="CH35" s="27"/>
      <c r="CI35" s="27"/>
      <c r="CJ35" s="27"/>
      <c r="CK35" s="27"/>
      <c r="CL35" s="27"/>
      <c r="CM35" s="27"/>
      <c r="CN35" s="28"/>
    </row>
    <row r="36" spans="1:92" ht="18.75" x14ac:dyDescent="0.45">
      <c r="A36" s="100"/>
      <c r="B36" s="23"/>
      <c r="C36" s="106"/>
      <c r="D36" s="25"/>
      <c r="E36" s="25"/>
      <c r="F36" s="25"/>
      <c r="G36" s="25"/>
      <c r="H36" s="26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7"/>
      <c r="T36" s="27"/>
      <c r="U36" s="27"/>
      <c r="V36" s="27"/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  <c r="AH36" s="27"/>
      <c r="AI36" s="27"/>
      <c r="AJ36" s="27"/>
      <c r="AK36" s="27"/>
      <c r="AL36" s="27"/>
      <c r="AM36" s="27"/>
      <c r="AN36" s="27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8"/>
    </row>
    <row r="37" spans="1:92" ht="18.75" x14ac:dyDescent="0.45">
      <c r="A37" s="29"/>
      <c r="B37" s="30"/>
      <c r="C37" s="107"/>
      <c r="D37" s="32"/>
      <c r="E37" s="32"/>
      <c r="F37" s="32"/>
      <c r="G37" s="32"/>
      <c r="H37" s="33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5"/>
    </row>
    <row r="38" spans="1:92" ht="18.75" x14ac:dyDescent="0.45">
      <c r="A38" s="101"/>
      <c r="B38" s="36"/>
      <c r="C38" s="108"/>
      <c r="D38" s="38"/>
      <c r="E38" s="38"/>
      <c r="F38" s="38"/>
      <c r="G38" s="38"/>
      <c r="H38" s="39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1"/>
    </row>
    <row r="39" spans="1:92" ht="18.75" x14ac:dyDescent="0.45">
      <c r="A39" s="42"/>
      <c r="B39" s="43"/>
      <c r="C39" s="44"/>
      <c r="D39" s="45"/>
      <c r="E39" s="45"/>
      <c r="F39" s="45"/>
      <c r="G39" s="45"/>
      <c r="H39" s="46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47"/>
      <c r="AW39" s="47"/>
      <c r="AX39" s="47"/>
      <c r="AY39" s="47"/>
      <c r="AZ39" s="47"/>
      <c r="BA39" s="47"/>
      <c r="BB39" s="47"/>
      <c r="BC39" s="47"/>
      <c r="BD39" s="47"/>
      <c r="BE39" s="47"/>
      <c r="BF39" s="47"/>
      <c r="BG39" s="47"/>
      <c r="BH39" s="47"/>
      <c r="BI39" s="47"/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7"/>
      <c r="CB39" s="47"/>
      <c r="CC39" s="47"/>
      <c r="CD39" s="47"/>
      <c r="CE39" s="47"/>
      <c r="CF39" s="47"/>
      <c r="CG39" s="47"/>
      <c r="CH39" s="47"/>
      <c r="CI39" s="47"/>
      <c r="CJ39" s="47"/>
      <c r="CK39" s="47"/>
      <c r="CL39" s="47"/>
      <c r="CM39" s="47"/>
      <c r="CN39" s="48"/>
    </row>
    <row r="40" spans="1:92" ht="18.75" x14ac:dyDescent="0.45">
      <c r="A40" s="102"/>
      <c r="B40" s="49"/>
      <c r="C40" s="109"/>
      <c r="D40" s="51"/>
      <c r="E40" s="51"/>
      <c r="F40" s="51"/>
      <c r="G40" s="51"/>
      <c r="H40" s="52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  <c r="BT40" s="53"/>
      <c r="BU40" s="53"/>
      <c r="BV40" s="53"/>
      <c r="BW40" s="53"/>
      <c r="BX40" s="53"/>
      <c r="BY40" s="53"/>
      <c r="BZ40" s="53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4"/>
    </row>
    <row r="41" spans="1:92" ht="18.75" x14ac:dyDescent="0.45">
      <c r="A41" s="69" t="s">
        <v>73</v>
      </c>
      <c r="B41" s="70"/>
      <c r="C41" s="71"/>
      <c r="D41" s="72">
        <v>46280</v>
      </c>
      <c r="E41" s="72">
        <v>46287</v>
      </c>
      <c r="F41" s="72">
        <v>46280</v>
      </c>
      <c r="G41" s="72"/>
      <c r="H41" s="73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74"/>
      <c r="AM41" s="74"/>
      <c r="AN41" s="74"/>
      <c r="AO41" s="74"/>
      <c r="AP41" s="74"/>
      <c r="AQ41" s="74"/>
      <c r="AR41" s="74"/>
      <c r="AS41" s="74"/>
      <c r="AT41" s="74"/>
      <c r="AU41" s="74"/>
      <c r="AV41" s="74"/>
      <c r="AW41" s="74"/>
      <c r="AX41" s="74"/>
      <c r="AY41" s="74"/>
      <c r="AZ41" s="74"/>
      <c r="BA41" s="74"/>
      <c r="BB41" s="74"/>
      <c r="BC41" s="74"/>
      <c r="BD41" s="74"/>
      <c r="BE41" s="74"/>
      <c r="BF41" s="74"/>
      <c r="BG41" s="74"/>
      <c r="BH41" s="74"/>
      <c r="BI41" s="74"/>
      <c r="BJ41" s="74"/>
      <c r="BK41" s="74"/>
      <c r="BL41" s="74"/>
      <c r="BM41" s="74"/>
      <c r="BN41" s="74"/>
      <c r="BO41" s="74"/>
      <c r="BP41" s="74"/>
      <c r="BQ41" s="74"/>
      <c r="BR41" s="74"/>
      <c r="BS41" s="74"/>
      <c r="BT41" s="74"/>
      <c r="BU41" s="74"/>
      <c r="BV41" s="74"/>
      <c r="BW41" s="74"/>
      <c r="BX41" s="74"/>
      <c r="BY41" s="74"/>
      <c r="BZ41" s="74"/>
      <c r="CA41" s="74"/>
      <c r="CB41" s="74"/>
      <c r="CC41" s="74"/>
      <c r="CD41" s="74"/>
      <c r="CE41" s="74"/>
      <c r="CF41" s="74"/>
      <c r="CG41" s="74"/>
      <c r="CH41" s="74"/>
      <c r="CI41" s="74"/>
      <c r="CJ41" s="74"/>
      <c r="CK41" s="74"/>
      <c r="CL41" s="74"/>
      <c r="CM41" s="74"/>
      <c r="CN41" s="75"/>
    </row>
    <row r="42" spans="1:92" ht="18.75" x14ac:dyDescent="0.45">
      <c r="A42" s="103" t="s">
        <v>74</v>
      </c>
      <c r="B42" s="89"/>
      <c r="C42" s="110">
        <v>1</v>
      </c>
      <c r="D42" s="90">
        <v>46280</v>
      </c>
      <c r="E42" s="90">
        <v>46280</v>
      </c>
      <c r="F42" s="90">
        <v>46280</v>
      </c>
      <c r="G42" s="90">
        <v>46280</v>
      </c>
      <c r="H42" s="91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  <c r="AQ42" s="92"/>
      <c r="AR42" s="92"/>
      <c r="AS42" s="92"/>
      <c r="AT42" s="92"/>
      <c r="AU42" s="92"/>
      <c r="AV42" s="92"/>
      <c r="AW42" s="92"/>
      <c r="AX42" s="92"/>
      <c r="AY42" s="92"/>
      <c r="AZ42" s="92"/>
      <c r="BA42" s="92"/>
      <c r="BB42" s="92"/>
      <c r="BC42" s="92"/>
      <c r="BD42" s="92"/>
      <c r="BE42" s="92"/>
      <c r="BF42" s="92"/>
      <c r="BG42" s="92"/>
      <c r="BH42" s="92"/>
      <c r="BI42" s="92"/>
      <c r="BJ42" s="92"/>
      <c r="BK42" s="92"/>
      <c r="BL42" s="92"/>
      <c r="BM42" s="92"/>
      <c r="BN42" s="92"/>
      <c r="BO42" s="92"/>
      <c r="BP42" s="92"/>
      <c r="BQ42" s="92"/>
      <c r="BR42" s="92"/>
      <c r="BS42" s="92"/>
      <c r="BT42" s="92"/>
      <c r="BU42" s="92"/>
      <c r="BV42" s="92"/>
      <c r="BW42" s="92"/>
      <c r="BX42" s="92"/>
      <c r="BY42" s="92"/>
      <c r="BZ42" s="92"/>
      <c r="CA42" s="92"/>
      <c r="CB42" s="92"/>
      <c r="CC42" s="92"/>
      <c r="CD42" s="92"/>
      <c r="CE42" s="92"/>
      <c r="CF42" s="92"/>
      <c r="CG42" s="92"/>
      <c r="CH42" s="92"/>
      <c r="CI42" s="92"/>
      <c r="CJ42" s="92"/>
      <c r="CK42" s="92"/>
      <c r="CL42" s="92"/>
      <c r="CM42" s="92"/>
      <c r="CN42" s="93"/>
    </row>
    <row r="43" spans="1:92" s="88" customFormat="1" ht="18.75" x14ac:dyDescent="0.45">
      <c r="A43" s="104" t="s">
        <v>75</v>
      </c>
      <c r="B43" s="94"/>
      <c r="C43" s="111">
        <v>1</v>
      </c>
      <c r="D43" s="90">
        <v>46280</v>
      </c>
      <c r="E43" s="90">
        <v>46285</v>
      </c>
      <c r="F43" s="90">
        <v>46284</v>
      </c>
      <c r="G43" s="87">
        <v>46290</v>
      </c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  <c r="AD43" s="86"/>
      <c r="AE43" s="86"/>
      <c r="AF43" s="86"/>
      <c r="AG43" s="86"/>
      <c r="AH43" s="86"/>
      <c r="AI43" s="86"/>
      <c r="AJ43" s="86"/>
      <c r="AK43" s="86"/>
      <c r="AL43" s="86"/>
      <c r="AM43" s="86"/>
      <c r="AN43" s="86"/>
      <c r="AO43" s="86"/>
      <c r="AP43" s="86"/>
      <c r="AQ43" s="86"/>
      <c r="AR43" s="86"/>
      <c r="AS43" s="86"/>
      <c r="AT43" s="86"/>
      <c r="AU43" s="86"/>
      <c r="AV43" s="86"/>
      <c r="AW43" s="86"/>
      <c r="AX43" s="86"/>
      <c r="AY43" s="86"/>
      <c r="AZ43" s="86"/>
      <c r="BA43" s="86"/>
      <c r="BB43" s="86"/>
      <c r="BC43" s="86"/>
      <c r="BD43" s="86"/>
      <c r="BE43" s="86"/>
      <c r="BF43" s="86"/>
      <c r="BG43" s="86"/>
      <c r="BH43" s="86"/>
      <c r="BI43" s="86"/>
      <c r="BJ43" s="86"/>
      <c r="BK43" s="86"/>
      <c r="BL43" s="86"/>
      <c r="BM43" s="86"/>
      <c r="BN43" s="86"/>
      <c r="BO43" s="86"/>
      <c r="BP43" s="86"/>
      <c r="BQ43" s="86"/>
      <c r="BR43" s="86"/>
      <c r="BS43" s="86"/>
      <c r="BT43" s="86"/>
      <c r="BU43" s="86"/>
      <c r="BV43" s="86"/>
      <c r="BW43" s="86"/>
      <c r="BX43" s="86"/>
      <c r="BY43" s="86"/>
      <c r="BZ43" s="86"/>
      <c r="CA43" s="86"/>
      <c r="CB43" s="86"/>
      <c r="CC43" s="86"/>
      <c r="CD43" s="86"/>
      <c r="CE43" s="86"/>
      <c r="CF43" s="86"/>
      <c r="CG43" s="86"/>
      <c r="CH43" s="86"/>
      <c r="CI43" s="86"/>
      <c r="CJ43" s="86"/>
      <c r="CK43" s="86"/>
      <c r="CL43" s="86"/>
      <c r="CM43" s="86"/>
      <c r="CN43" s="86"/>
    </row>
    <row r="44" spans="1:92" s="97" customFormat="1" ht="18.75" x14ac:dyDescent="0.45">
      <c r="A44" s="104" t="s">
        <v>76</v>
      </c>
      <c r="B44" s="98"/>
      <c r="C44" s="112">
        <v>1</v>
      </c>
      <c r="D44" s="90">
        <v>46280</v>
      </c>
      <c r="E44" s="90">
        <v>46285</v>
      </c>
      <c r="F44" s="90">
        <v>46280</v>
      </c>
      <c r="G44" s="95">
        <v>46284</v>
      </c>
      <c r="H44" s="96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96"/>
      <c r="V44" s="96"/>
      <c r="W44" s="96"/>
      <c r="X44" s="96"/>
      <c r="Y44" s="96"/>
      <c r="Z44" s="96"/>
      <c r="AA44" s="96"/>
      <c r="AB44" s="96"/>
      <c r="AC44" s="96"/>
      <c r="AD44" s="96"/>
      <c r="AE44" s="96"/>
      <c r="AF44" s="96"/>
      <c r="AG44" s="96"/>
      <c r="AH44" s="96"/>
      <c r="AI44" s="96"/>
      <c r="AJ44" s="96"/>
      <c r="AK44" s="96"/>
      <c r="AL44" s="96"/>
      <c r="AM44" s="96"/>
      <c r="AN44" s="96"/>
      <c r="AO44" s="96"/>
      <c r="AP44" s="96"/>
      <c r="AQ44" s="96"/>
      <c r="AR44" s="96"/>
      <c r="AS44" s="96"/>
      <c r="AT44" s="96"/>
      <c r="AU44" s="96"/>
      <c r="AV44" s="96"/>
      <c r="AW44" s="96"/>
      <c r="AX44" s="96"/>
      <c r="AY44" s="96"/>
      <c r="AZ44" s="96"/>
      <c r="BA44" s="96"/>
      <c r="BB44" s="96"/>
      <c r="BC44" s="96"/>
      <c r="BD44" s="96"/>
      <c r="BE44" s="96"/>
      <c r="BF44" s="96"/>
      <c r="BG44" s="96"/>
      <c r="BH44" s="96"/>
      <c r="BI44" s="96"/>
      <c r="BJ44" s="96"/>
      <c r="BK44" s="96"/>
      <c r="BL44" s="96"/>
      <c r="BM44" s="96"/>
      <c r="BN44" s="96"/>
      <c r="BO44" s="96"/>
      <c r="BP44" s="96"/>
      <c r="BQ44" s="96"/>
      <c r="BR44" s="96"/>
      <c r="BS44" s="96"/>
      <c r="BT44" s="96"/>
      <c r="BU44" s="96"/>
      <c r="BV44" s="96"/>
      <c r="BW44" s="96"/>
      <c r="BX44" s="96"/>
      <c r="BY44" s="96"/>
      <c r="BZ44" s="96"/>
      <c r="CA44" s="96"/>
      <c r="CB44" s="96"/>
      <c r="CC44" s="96"/>
      <c r="CD44" s="96"/>
      <c r="CE44" s="96"/>
      <c r="CF44" s="96"/>
      <c r="CG44" s="96"/>
      <c r="CH44" s="96"/>
      <c r="CI44" s="96"/>
      <c r="CJ44" s="96"/>
      <c r="CK44" s="96"/>
      <c r="CL44" s="96"/>
      <c r="CM44" s="96"/>
      <c r="CN44" s="96"/>
    </row>
    <row r="45" spans="1:92" ht="18.75" x14ac:dyDescent="0.45">
      <c r="A45" s="68"/>
      <c r="B45" s="55"/>
      <c r="C45" s="56"/>
      <c r="D45" s="56"/>
      <c r="E45" s="56"/>
      <c r="F45" s="55"/>
      <c r="G45" s="55"/>
      <c r="H45" s="55"/>
      <c r="I45" s="55"/>
      <c r="J45" s="55"/>
      <c r="K45" s="55"/>
      <c r="L45" s="55"/>
      <c r="M45" s="55"/>
      <c r="N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  <c r="AE45" s="55"/>
      <c r="AF45" s="55"/>
      <c r="AG45" s="55"/>
      <c r="AH45" s="55"/>
      <c r="AI45" s="55"/>
      <c r="AJ45" s="55"/>
      <c r="AK45" s="55"/>
      <c r="AL45" s="55"/>
      <c r="AM45" s="55"/>
      <c r="AN45" s="55"/>
      <c r="AO45" s="55"/>
      <c r="AP45" s="55"/>
      <c r="AQ45" s="55"/>
      <c r="AR45" s="55"/>
      <c r="AS45" s="55"/>
      <c r="AT45" s="55"/>
      <c r="AU45" s="55"/>
      <c r="AV45" s="55"/>
      <c r="AW45" s="55"/>
      <c r="AX45" s="55"/>
      <c r="AY45" s="55"/>
      <c r="AZ45" s="55"/>
      <c r="BA45" s="55"/>
      <c r="BB45" s="55"/>
      <c r="BC45" s="55"/>
      <c r="BD45" s="55"/>
      <c r="BE45" s="55"/>
      <c r="BF45" s="55"/>
      <c r="BG45" s="55"/>
      <c r="BH45" s="55"/>
      <c r="BI45" s="55"/>
      <c r="BJ45" s="55"/>
      <c r="BK45" s="55"/>
      <c r="BL45" s="55"/>
      <c r="BM45" s="55"/>
      <c r="BN45" s="55"/>
      <c r="BO45" s="55"/>
      <c r="BP45" s="55"/>
      <c r="BQ45" s="55"/>
      <c r="BR45" s="55"/>
      <c r="BS45" s="55"/>
      <c r="BT45" s="55"/>
      <c r="BU45" s="55"/>
      <c r="BV45" s="55"/>
      <c r="BW45" s="55"/>
      <c r="BX45" s="55"/>
      <c r="BY45" s="55"/>
      <c r="BZ45" s="55"/>
      <c r="CA45" s="55"/>
      <c r="CB45" s="55"/>
      <c r="CC45" s="55"/>
      <c r="CD45" s="55"/>
      <c r="CE45" s="55"/>
      <c r="CF45" s="55"/>
      <c r="CG45" s="55"/>
      <c r="CH45" s="55"/>
      <c r="CI45" s="55"/>
      <c r="CJ45" s="55"/>
      <c r="CK45" s="55"/>
      <c r="CL45" s="55"/>
      <c r="CM45" s="55"/>
      <c r="CN45" s="55"/>
    </row>
    <row r="46" spans="1:92" ht="18.75" x14ac:dyDescent="0.45">
      <c r="A46" s="1"/>
      <c r="B46" s="1"/>
      <c r="C46" s="2"/>
      <c r="D46" s="2"/>
      <c r="E46" s="2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</row>
    <row r="47" spans="1:92" ht="18.75" x14ac:dyDescent="0.45">
      <c r="A47" s="1"/>
      <c r="B47" s="1"/>
      <c r="C47" s="2"/>
      <c r="D47" s="2"/>
      <c r="E47" s="2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</row>
    <row r="48" spans="1:92" ht="18.75" x14ac:dyDescent="0.45">
      <c r="A48" s="1"/>
      <c r="B48" s="1"/>
      <c r="C48" s="2"/>
      <c r="D48" s="2"/>
      <c r="E48" s="2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</row>
    <row r="49" spans="1:92" ht="18.75" x14ac:dyDescent="0.45">
      <c r="A49" s="1"/>
      <c r="B49" s="1"/>
      <c r="C49" s="2"/>
      <c r="D49" s="2"/>
      <c r="E49" s="2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</row>
    <row r="50" spans="1:92" ht="18.75" x14ac:dyDescent="0.45">
      <c r="A50" s="1"/>
      <c r="B50" s="1"/>
      <c r="C50" s="2"/>
      <c r="D50" s="2"/>
      <c r="E50" s="2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</row>
    <row r="51" spans="1:92" ht="18.75" x14ac:dyDescent="0.45">
      <c r="A51" s="1"/>
      <c r="B51" s="1"/>
      <c r="C51" s="2"/>
      <c r="D51" s="2"/>
      <c r="E51" s="2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</row>
  </sheetData>
  <mergeCells count="28">
    <mergeCell ref="CE6:CI6"/>
    <mergeCell ref="CJ6:CN6"/>
    <mergeCell ref="D7:E7"/>
    <mergeCell ref="F7:G7"/>
    <mergeCell ref="BA6:BE6"/>
    <mergeCell ref="BF6:BJ6"/>
    <mergeCell ref="BK6:BO6"/>
    <mergeCell ref="BP6:BT6"/>
    <mergeCell ref="BU6:BY6"/>
    <mergeCell ref="BZ6:CD6"/>
    <mergeCell ref="W6:AA6"/>
    <mergeCell ref="AB6:AF6"/>
    <mergeCell ref="AG6:AK6"/>
    <mergeCell ref="AL6:AP6"/>
    <mergeCell ref="AQ6:AU6"/>
    <mergeCell ref="AV6:AZ6"/>
    <mergeCell ref="R6:V6"/>
    <mergeCell ref="E1:G1"/>
    <mergeCell ref="A2:G2"/>
    <mergeCell ref="A3:G3"/>
    <mergeCell ref="A4:G4"/>
    <mergeCell ref="D5:E5"/>
    <mergeCell ref="F5:G5"/>
    <mergeCell ref="B6:C6"/>
    <mergeCell ref="D6:E6"/>
    <mergeCell ref="F6:G6"/>
    <mergeCell ref="H6:L6"/>
    <mergeCell ref="M6:Q6"/>
  </mergeCells>
  <phoneticPr fontId="19"/>
  <conditionalFormatting sqref="F9:G41 G43:G44">
    <cfRule type="expression" dxfId="0" priority="3">
      <formula>D9&lt;F9</formula>
    </cfRule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2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D2A65F-21CC-403E-82EF-9B2DA8593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制作進捗確認表</vt:lpstr>
      <vt:lpstr>進捗確認表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2026-10-21T14:38:43Z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